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E0C86FF1-C3F5-4D9F-8094-E63B480433DB}" xr6:coauthVersionLast="47" xr6:coauthVersionMax="47" xr10:uidLastSave="{00000000-0000-0000-0000-000000000000}"/>
  <bookViews>
    <workbookView xWindow="-120" yWindow="-120" windowWidth="29040" windowHeight="15840" xr2:uid="{CDFD4921-75BE-4816-83AF-F942F08843C2}"/>
  </bookViews>
  <sheets>
    <sheet name="Sheet1" sheetId="1" r:id="rId1"/>
  </sheets>
  <definedNames>
    <definedName name="_xlnm._FilterDatabase" localSheetId="0" hidden="1">Sheet1!$A$1:$K$190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8" i="1" l="1"/>
  <c r="J189" i="1" s="1"/>
  <c r="J190" i="1" s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9" i="1"/>
  <c r="J180" i="1"/>
  <c r="J183" i="1"/>
  <c r="J164" i="1"/>
  <c r="J155" i="1"/>
  <c r="J156" i="1"/>
  <c r="J157" i="1"/>
  <c r="J158" i="1"/>
  <c r="J159" i="1"/>
  <c r="J160" i="1"/>
  <c r="J161" i="1"/>
  <c r="J162" i="1"/>
  <c r="J163" i="1"/>
  <c r="J154" i="1"/>
  <c r="J144" i="1"/>
  <c r="J145" i="1"/>
  <c r="J146" i="1"/>
  <c r="J147" i="1"/>
  <c r="J143" i="1"/>
  <c r="J138" i="1"/>
  <c r="J139" i="1"/>
  <c r="J140" i="1"/>
  <c r="J141" i="1"/>
  <c r="J142" i="1"/>
  <c r="J137" i="1"/>
  <c r="J134" i="1"/>
  <c r="J96" i="1" l="1"/>
  <c r="J97" i="1"/>
  <c r="J98" i="1"/>
  <c r="J99" i="1"/>
  <c r="J100" i="1"/>
  <c r="J101" i="1"/>
  <c r="J95" i="1"/>
  <c r="J64" i="1"/>
  <c r="J65" i="1"/>
  <c r="J63" i="1"/>
  <c r="J57" i="1"/>
  <c r="J58" i="1"/>
  <c r="J59" i="1"/>
  <c r="J60" i="1"/>
  <c r="J61" i="1"/>
  <c r="J56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5" i="1"/>
  <c r="J46" i="1"/>
  <c r="J47" i="1"/>
  <c r="J48" i="1"/>
  <c r="J49" i="1"/>
  <c r="J50" i="1"/>
  <c r="J51" i="1"/>
  <c r="J52" i="1"/>
  <c r="J53" i="1"/>
  <c r="J54" i="1"/>
  <c r="J55" i="1"/>
  <c r="J29" i="1"/>
  <c r="J26" i="1"/>
  <c r="J27" i="1"/>
  <c r="J28" i="1"/>
  <c r="J25" i="1"/>
  <c r="J15" i="1" l="1"/>
  <c r="J16" i="1"/>
  <c r="J17" i="1"/>
  <c r="J18" i="1"/>
  <c r="J19" i="1"/>
  <c r="J20" i="1"/>
  <c r="J21" i="1"/>
  <c r="J14" i="1"/>
  <c r="J7" i="1" l="1"/>
  <c r="J8" i="1"/>
  <c r="J9" i="1"/>
  <c r="J10" i="1"/>
  <c r="J11" i="1"/>
  <c r="J12" i="1"/>
  <c r="J13" i="1"/>
  <c r="J6" i="1"/>
  <c r="J3" i="1"/>
  <c r="J4" i="1"/>
  <c r="J5" i="1"/>
  <c r="J2" i="1"/>
  <c r="J104" i="1" l="1"/>
  <c r="J105" i="1"/>
  <c r="J106" i="1"/>
  <c r="J107" i="1"/>
  <c r="J108" i="1"/>
  <c r="J109" i="1"/>
  <c r="J110" i="1"/>
  <c r="J103" i="1"/>
  <c r="J68" i="1"/>
  <c r="J69" i="1"/>
  <c r="J70" i="1"/>
  <c r="J71" i="1"/>
  <c r="J72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1" i="1"/>
  <c r="J92" i="1"/>
  <c r="J67" i="1"/>
</calcChain>
</file>

<file path=xl/sharedStrings.xml><?xml version="1.0" encoding="utf-8"?>
<sst xmlns="http://schemas.openxmlformats.org/spreadsheetml/2006/main" count="866" uniqueCount="370">
  <si>
    <t>序号</t>
    <phoneticPr fontId="1" type="noConversion"/>
  </si>
  <si>
    <t>物料ID</t>
    <phoneticPr fontId="1" type="noConversion"/>
  </si>
  <si>
    <t>图号</t>
    <phoneticPr fontId="1" type="noConversion"/>
  </si>
  <si>
    <t>名称</t>
    <phoneticPr fontId="1" type="noConversion"/>
  </si>
  <si>
    <t>厚度</t>
    <phoneticPr fontId="1" type="noConversion"/>
  </si>
  <si>
    <t>材质</t>
    <phoneticPr fontId="1" type="noConversion"/>
  </si>
  <si>
    <t>数量</t>
    <phoneticPr fontId="1" type="noConversion"/>
  </si>
  <si>
    <t>总数量</t>
    <phoneticPr fontId="1" type="noConversion"/>
  </si>
  <si>
    <t>备注</t>
    <phoneticPr fontId="1" type="noConversion"/>
  </si>
  <si>
    <t>长度</t>
    <phoneticPr fontId="1" type="noConversion"/>
  </si>
  <si>
    <t>宽度</t>
    <phoneticPr fontId="1" type="noConversion"/>
  </si>
  <si>
    <t>06Cr19Ni10</t>
  </si>
  <si>
    <t>1</t>
  </si>
  <si>
    <t>板</t>
  </si>
  <si>
    <t>T3</t>
  </si>
  <si>
    <t>弯板</t>
  </si>
  <si>
    <t>T8</t>
  </si>
  <si>
    <t>T2</t>
  </si>
  <si>
    <t>T10</t>
  </si>
  <si>
    <t>2</t>
  </si>
  <si>
    <t>4</t>
  </si>
  <si>
    <t>T5</t>
  </si>
  <si>
    <t>1303000030226</t>
  </si>
  <si>
    <t>101008006170</t>
  </si>
  <si>
    <t>槽体焊接件</t>
  </si>
  <si>
    <t>101008006173</t>
  </si>
  <si>
    <t>101008006171</t>
  </si>
  <si>
    <t>槽体</t>
  </si>
  <si>
    <t>加强筋</t>
  </si>
  <si>
    <t>101002008141-1</t>
  </si>
  <si>
    <t>101002008145</t>
  </si>
  <si>
    <t>101002000708(248032100-15)</t>
  </si>
  <si>
    <t>螺杆</t>
  </si>
  <si>
    <t>06Cr19Ni10_M+HL</t>
  </si>
  <si>
    <t>A2-70</t>
  </si>
  <si>
    <t>T20</t>
  </si>
  <si>
    <t>T13</t>
  </si>
  <si>
    <t>T24</t>
  </si>
  <si>
    <t>14</t>
  </si>
  <si>
    <t>8</t>
  </si>
  <si>
    <t>组件</t>
    <phoneticPr fontId="1" type="noConversion"/>
  </si>
  <si>
    <t>59</t>
    <phoneticPr fontId="1" type="noConversion"/>
  </si>
  <si>
    <t>59.1</t>
    <phoneticPr fontId="1" type="noConversion"/>
  </si>
  <si>
    <t>59.2</t>
    <phoneticPr fontId="1" type="noConversion"/>
  </si>
  <si>
    <t>59.3</t>
    <phoneticPr fontId="1" type="noConversion"/>
  </si>
  <si>
    <t>59.4</t>
    <phoneticPr fontId="1" type="noConversion"/>
  </si>
  <si>
    <t>59.5</t>
    <phoneticPr fontId="1" type="noConversion"/>
  </si>
  <si>
    <t>59.5.1</t>
    <phoneticPr fontId="1" type="noConversion"/>
  </si>
  <si>
    <t>59.5.2</t>
    <phoneticPr fontId="1" type="noConversion"/>
  </si>
  <si>
    <t>59.6</t>
    <phoneticPr fontId="1" type="noConversion"/>
  </si>
  <si>
    <t>59.7</t>
    <phoneticPr fontId="1" type="noConversion"/>
  </si>
  <si>
    <t>59.8</t>
    <phoneticPr fontId="1" type="noConversion"/>
  </si>
  <si>
    <t>59.9</t>
    <phoneticPr fontId="1" type="noConversion"/>
  </si>
  <si>
    <t>59.10</t>
    <phoneticPr fontId="1" type="noConversion"/>
  </si>
  <si>
    <t>59.11</t>
    <phoneticPr fontId="1" type="noConversion"/>
  </si>
  <si>
    <t>59.11.1</t>
    <phoneticPr fontId="1" type="noConversion"/>
  </si>
  <si>
    <t>59.12</t>
    <phoneticPr fontId="1" type="noConversion"/>
  </si>
  <si>
    <t>59.13</t>
    <phoneticPr fontId="1" type="noConversion"/>
  </si>
  <si>
    <t>59.14</t>
    <phoneticPr fontId="1" type="noConversion"/>
  </si>
  <si>
    <t>59.15</t>
    <phoneticPr fontId="1" type="noConversion"/>
  </si>
  <si>
    <t>59.16</t>
    <phoneticPr fontId="1" type="noConversion"/>
  </si>
  <si>
    <t>59.17</t>
    <phoneticPr fontId="1" type="noConversion"/>
  </si>
  <si>
    <t>59.18</t>
    <phoneticPr fontId="1" type="noConversion"/>
  </si>
  <si>
    <t>59.19</t>
    <phoneticPr fontId="1" type="noConversion"/>
  </si>
  <si>
    <t>59.19.1</t>
    <phoneticPr fontId="1" type="noConversion"/>
  </si>
  <si>
    <t>59.20</t>
    <phoneticPr fontId="1" type="noConversion"/>
  </si>
  <si>
    <t>59.21</t>
    <phoneticPr fontId="1" type="noConversion"/>
  </si>
  <si>
    <t>1303000030222</t>
    <phoneticPr fontId="1" type="noConversion"/>
  </si>
  <si>
    <t>1303000030225</t>
    <phoneticPr fontId="1" type="noConversion"/>
  </si>
  <si>
    <t>1303000020302</t>
    <phoneticPr fontId="1" type="noConversion"/>
  </si>
  <si>
    <t>1303000020298</t>
    <phoneticPr fontId="1" type="noConversion"/>
  </si>
  <si>
    <t>1303000012336</t>
    <phoneticPr fontId="1" type="noConversion"/>
  </si>
  <si>
    <t>1303000012329</t>
    <phoneticPr fontId="1" type="noConversion"/>
  </si>
  <si>
    <t>1303000020463</t>
    <phoneticPr fontId="1" type="noConversion"/>
  </si>
  <si>
    <t>1303000030220</t>
    <phoneticPr fontId="1" type="noConversion"/>
  </si>
  <si>
    <t>1303000012334</t>
    <phoneticPr fontId="1" type="noConversion"/>
  </si>
  <si>
    <t>1303000030223</t>
    <phoneticPr fontId="1" type="noConversion"/>
  </si>
  <si>
    <t>1303000020330</t>
    <phoneticPr fontId="1" type="noConversion"/>
  </si>
  <si>
    <t>1303000020301</t>
    <phoneticPr fontId="1" type="noConversion"/>
  </si>
  <si>
    <t>1303000012338</t>
    <phoneticPr fontId="1" type="noConversion"/>
  </si>
  <si>
    <t>1303000012327</t>
    <phoneticPr fontId="1" type="noConversion"/>
  </si>
  <si>
    <t>1303000030218</t>
    <phoneticPr fontId="1" type="noConversion"/>
  </si>
  <si>
    <t>1303000012328</t>
    <phoneticPr fontId="1" type="noConversion"/>
  </si>
  <si>
    <t>1303000030221</t>
    <phoneticPr fontId="1" type="noConversion"/>
  </si>
  <si>
    <t>1303000012335</t>
    <phoneticPr fontId="1" type="noConversion"/>
  </si>
  <si>
    <t>1303000030224</t>
    <phoneticPr fontId="1" type="noConversion"/>
  </si>
  <si>
    <t>1303000020331</t>
    <phoneticPr fontId="1" type="noConversion"/>
  </si>
  <si>
    <t>1303000020300</t>
    <phoneticPr fontId="1" type="noConversion"/>
  </si>
  <si>
    <t>1303000012337</t>
    <phoneticPr fontId="1" type="noConversion"/>
  </si>
  <si>
    <t>1303000012326</t>
    <phoneticPr fontId="1" type="noConversion"/>
  </si>
  <si>
    <t>1303000030219</t>
    <phoneticPr fontId="1" type="noConversion"/>
  </si>
  <si>
    <t>1303000012330</t>
    <phoneticPr fontId="1" type="noConversion"/>
  </si>
  <si>
    <t>101002000695(248032100-2)</t>
    <phoneticPr fontId="1" type="noConversion"/>
  </si>
  <si>
    <t>101002008150</t>
    <phoneticPr fontId="1" type="noConversion"/>
  </si>
  <si>
    <t>101002008140</t>
    <phoneticPr fontId="1" type="noConversion"/>
  </si>
  <si>
    <t>T5</t>
    <phoneticPr fontId="1" type="noConversion"/>
  </si>
  <si>
    <t>1</t>
    <phoneticPr fontId="1" type="noConversion"/>
  </si>
  <si>
    <t>28</t>
    <phoneticPr fontId="1" type="noConversion"/>
  </si>
  <si>
    <t>101002008141</t>
    <phoneticPr fontId="1" type="noConversion"/>
  </si>
  <si>
    <t>101002008158</t>
    <phoneticPr fontId="1" type="noConversion"/>
  </si>
  <si>
    <t>101002000701(248032100-8)</t>
    <phoneticPr fontId="1" type="noConversion"/>
  </si>
  <si>
    <t>101008006174</t>
    <phoneticPr fontId="1" type="noConversion"/>
  </si>
  <si>
    <t>101002012156</t>
    <phoneticPr fontId="1" type="noConversion"/>
  </si>
  <si>
    <t>101002008138</t>
    <phoneticPr fontId="1" type="noConversion"/>
  </si>
  <si>
    <t>101002008147</t>
    <phoneticPr fontId="1" type="noConversion"/>
  </si>
  <si>
    <t>101002008155</t>
    <phoneticPr fontId="1" type="noConversion"/>
  </si>
  <si>
    <t>101002008143</t>
    <phoneticPr fontId="1" type="noConversion"/>
  </si>
  <si>
    <t>101008006172</t>
    <phoneticPr fontId="1" type="noConversion"/>
  </si>
  <si>
    <t>101002000700(248032100-7)</t>
    <phoneticPr fontId="1" type="noConversion"/>
  </si>
  <si>
    <t>101008006175</t>
    <phoneticPr fontId="1" type="noConversion"/>
  </si>
  <si>
    <t>101002012155</t>
    <phoneticPr fontId="1" type="noConversion"/>
  </si>
  <si>
    <t>101002008144</t>
    <phoneticPr fontId="1" type="noConversion"/>
  </si>
  <si>
    <t>32</t>
    <phoneticPr fontId="1" type="noConversion"/>
  </si>
  <si>
    <t>101002008146</t>
    <phoneticPr fontId="1" type="noConversion"/>
  </si>
  <si>
    <t>101002008157</t>
    <phoneticPr fontId="1" type="noConversion"/>
  </si>
  <si>
    <t>101002008139</t>
    <phoneticPr fontId="1" type="noConversion"/>
  </si>
  <si>
    <t xml:space="preserve"> 压条</t>
    <phoneticPr fontId="1" type="noConversion"/>
  </si>
  <si>
    <t>T3</t>
    <phoneticPr fontId="1" type="noConversion"/>
  </si>
  <si>
    <t>1303000030284</t>
  </si>
  <si>
    <t>101008006178</t>
  </si>
  <si>
    <t>盖</t>
  </si>
  <si>
    <t xml:space="preserve">  1303000030286</t>
  </si>
  <si>
    <t xml:space="preserve">  1303000012281</t>
  </si>
  <si>
    <t xml:space="preserve">  1303000030283</t>
  </si>
  <si>
    <t xml:space="preserve">  1303000026869</t>
  </si>
  <si>
    <t xml:space="preserve">  1303000012282</t>
  </si>
  <si>
    <t xml:space="preserve">  1303000030285</t>
  </si>
  <si>
    <t xml:space="preserve">  1303000022846</t>
  </si>
  <si>
    <t>T12</t>
  </si>
  <si>
    <t xml:space="preserve">06Cr19Ni10 </t>
  </si>
  <si>
    <t>101008006182</t>
    <phoneticPr fontId="1" type="noConversion"/>
  </si>
  <si>
    <t>101002006783</t>
    <phoneticPr fontId="1" type="noConversion"/>
  </si>
  <si>
    <t>101002000712（248032210-3）</t>
    <phoneticPr fontId="1" type="noConversion"/>
  </si>
  <si>
    <t>101002000721</t>
    <phoneticPr fontId="1" type="noConversion"/>
  </si>
  <si>
    <t>101002006784</t>
    <phoneticPr fontId="1" type="noConversion"/>
  </si>
  <si>
    <t>101008006179</t>
    <phoneticPr fontId="1" type="noConversion"/>
  </si>
  <si>
    <t>101002006793</t>
    <phoneticPr fontId="1" type="noConversion"/>
  </si>
  <si>
    <t xml:space="preserve">  1303000030301</t>
    <phoneticPr fontId="1" type="noConversion"/>
  </si>
  <si>
    <t>左罩</t>
    <phoneticPr fontId="1" type="noConversion"/>
  </si>
  <si>
    <t>T2</t>
    <phoneticPr fontId="1" type="noConversion"/>
  </si>
  <si>
    <t>支架</t>
  </si>
  <si>
    <t>组件</t>
    <phoneticPr fontId="28" type="noConversion"/>
  </si>
  <si>
    <t>101002000251-A</t>
    <phoneticPr fontId="28" type="noConversion"/>
  </si>
  <si>
    <t>101002000251-B</t>
    <phoneticPr fontId="28" type="noConversion"/>
  </si>
  <si>
    <t>弯板</t>
    <phoneticPr fontId="28" type="noConversion"/>
  </si>
  <si>
    <t>T10</t>
    <phoneticPr fontId="28" type="noConversion"/>
  </si>
  <si>
    <t>06Cr19Ni10</t>
    <phoneticPr fontId="28" type="noConversion"/>
  </si>
  <si>
    <t>101002000250（248010310）</t>
    <phoneticPr fontId="1" type="noConversion"/>
  </si>
  <si>
    <t>下水管</t>
  </si>
  <si>
    <t>组件</t>
  </si>
  <si>
    <t>101002000264(248010411)</t>
  </si>
  <si>
    <t>法兰板</t>
  </si>
  <si>
    <t>101002000266(248010411-2)</t>
  </si>
  <si>
    <t>101002000258(248010410-1)</t>
    <phoneticPr fontId="28" type="noConversion"/>
  </si>
  <si>
    <t>接头</t>
  </si>
  <si>
    <t>/</t>
  </si>
  <si>
    <t>101002000259(248010410-2)</t>
  </si>
  <si>
    <t>底板</t>
  </si>
  <si>
    <t>101002000261(248010410-4)</t>
  </si>
  <si>
    <t>侧板</t>
  </si>
  <si>
    <t>101002000262(248010410-5)</t>
  </si>
  <si>
    <t>挡板</t>
  </si>
  <si>
    <t xml:space="preserve">06Cr19Ni10  </t>
    <phoneticPr fontId="28" type="noConversion"/>
  </si>
  <si>
    <t>101002000257（248010410）</t>
    <phoneticPr fontId="1" type="noConversion"/>
  </si>
  <si>
    <t>101002000265(248010411-1)</t>
    <phoneticPr fontId="1" type="noConversion"/>
  </si>
  <si>
    <t>Ø102X6 L=82mm 机加</t>
    <phoneticPr fontId="28" type="noConversion"/>
  </si>
  <si>
    <t>101002000267(248010420)</t>
  </si>
  <si>
    <t>接水管</t>
  </si>
  <si>
    <t>下弯板</t>
  </si>
  <si>
    <t>101002000269(248010420-2)</t>
  </si>
  <si>
    <t>左侧板</t>
  </si>
  <si>
    <t>101002000270(248010420-3)</t>
  </si>
  <si>
    <t>上弯板</t>
  </si>
  <si>
    <t>101002000272(248010421)</t>
  </si>
  <si>
    <t>101002000273(248010421-1)</t>
  </si>
  <si>
    <t>T6</t>
  </si>
  <si>
    <t>101002000274(248010421-2)</t>
  </si>
  <si>
    <t>101002000275(248010421-3)</t>
  </si>
  <si>
    <t>49.4.1</t>
    <phoneticPr fontId="28" type="noConversion"/>
  </si>
  <si>
    <t>49.4.2</t>
    <phoneticPr fontId="28" type="noConversion"/>
  </si>
  <si>
    <t>49.4.3</t>
    <phoneticPr fontId="1" type="noConversion"/>
  </si>
  <si>
    <t>左右对称制作</t>
  </si>
  <si>
    <t>101002000268(248010420-1)</t>
    <phoneticPr fontId="1" type="noConversion"/>
  </si>
  <si>
    <t>安装板</t>
  </si>
  <si>
    <t>T4</t>
  </si>
  <si>
    <t>2</t>
    <phoneticPr fontId="1" type="noConversion"/>
  </si>
  <si>
    <t>101002000277(248010500-1)</t>
    <phoneticPr fontId="1" type="noConversion"/>
  </si>
  <si>
    <t>101002000293（248011000-2）</t>
    <phoneticPr fontId="28" type="noConversion"/>
  </si>
  <si>
    <t>角板</t>
  </si>
  <si>
    <t>4</t>
    <phoneticPr fontId="1" type="noConversion"/>
  </si>
  <si>
    <t>101002000296(248011000-5)</t>
    <phoneticPr fontId="28" type="noConversion"/>
  </si>
  <si>
    <t>盖板</t>
  </si>
  <si>
    <t>Q235B</t>
  </si>
  <si>
    <t>5</t>
    <phoneticPr fontId="1" type="noConversion"/>
  </si>
  <si>
    <t>翻板</t>
  </si>
  <si>
    <t>把手</t>
  </si>
  <si>
    <t>条</t>
  </si>
  <si>
    <t>Ø10 L=230mm</t>
    <phoneticPr fontId="28" type="noConversion"/>
  </si>
  <si>
    <t>出料斗</t>
  </si>
  <si>
    <t>101002000310(248011110)</t>
  </si>
  <si>
    <t>法兰</t>
  </si>
  <si>
    <t>101002000312(248011110-2)</t>
  </si>
  <si>
    <t>弯条</t>
  </si>
  <si>
    <t>T1.5</t>
  </si>
  <si>
    <t>101002000314(248011110-4)</t>
  </si>
  <si>
    <t>螺纹轴</t>
  </si>
  <si>
    <t>T16</t>
  </si>
  <si>
    <t>101002006362-A</t>
  </si>
  <si>
    <t>下板组件</t>
  </si>
  <si>
    <t>下板</t>
  </si>
  <si>
    <t>101002006362-B</t>
  </si>
  <si>
    <t>弯板组件</t>
  </si>
  <si>
    <t>块</t>
  </si>
  <si>
    <t>上板组件</t>
  </si>
  <si>
    <t>92X15X4 无图</t>
    <phoneticPr fontId="28" type="noConversion"/>
  </si>
  <si>
    <t>镜像件无图</t>
  </si>
  <si>
    <t>101002000311(248011110-1)</t>
    <phoneticPr fontId="1" type="noConversion"/>
  </si>
  <si>
    <t>101002000313(248011110-3)</t>
    <phoneticPr fontId="1" type="noConversion"/>
  </si>
  <si>
    <t>54.1.1</t>
    <phoneticPr fontId="28" type="noConversion"/>
  </si>
  <si>
    <t>54.1.2</t>
    <phoneticPr fontId="28" type="noConversion"/>
  </si>
  <si>
    <t>54.1.3</t>
    <phoneticPr fontId="1" type="noConversion"/>
  </si>
  <si>
    <t>54.1.4</t>
    <phoneticPr fontId="1" type="noConversion"/>
  </si>
  <si>
    <t>54.3.1</t>
    <phoneticPr fontId="28" type="noConversion"/>
  </si>
  <si>
    <t>54.3.2</t>
    <phoneticPr fontId="28" type="noConversion"/>
  </si>
  <si>
    <t>54.3.3</t>
    <phoneticPr fontId="1" type="noConversion"/>
  </si>
  <si>
    <t>54.3.4</t>
    <phoneticPr fontId="1" type="noConversion"/>
  </si>
  <si>
    <t>54.3.5</t>
    <phoneticPr fontId="1" type="noConversion"/>
  </si>
  <si>
    <t>54.4.1</t>
    <phoneticPr fontId="28" type="noConversion"/>
  </si>
  <si>
    <t>54.4.2</t>
    <phoneticPr fontId="28" type="noConversion"/>
  </si>
  <si>
    <t>54.8.1</t>
    <phoneticPr fontId="28" type="noConversion"/>
  </si>
  <si>
    <t>54.8.2</t>
    <phoneticPr fontId="28" type="noConversion"/>
  </si>
  <si>
    <t>54.8.3</t>
    <phoneticPr fontId="1" type="noConversion"/>
  </si>
  <si>
    <t>54.8.4</t>
    <phoneticPr fontId="1" type="noConversion"/>
  </si>
  <si>
    <t>54.8.5</t>
    <phoneticPr fontId="1" type="noConversion"/>
  </si>
  <si>
    <t>54.8.6</t>
    <phoneticPr fontId="1" type="noConversion"/>
  </si>
  <si>
    <t>54.8.7</t>
    <phoneticPr fontId="1" type="noConversion"/>
  </si>
  <si>
    <t>上盖板</t>
  </si>
  <si>
    <t>1303000012254</t>
    <phoneticPr fontId="1" type="noConversion"/>
  </si>
  <si>
    <t xml:space="preserve"> 板</t>
    <phoneticPr fontId="1" type="noConversion"/>
  </si>
  <si>
    <t>T5</t>
    <phoneticPr fontId="1" type="noConversion"/>
  </si>
  <si>
    <t>GB/T 13681-1992</t>
    <phoneticPr fontId="28" type="noConversion"/>
  </si>
  <si>
    <t>焊接六角螺母</t>
    <phoneticPr fontId="28" type="noConversion"/>
  </si>
  <si>
    <t>M8 外购</t>
    <phoneticPr fontId="28" type="noConversion"/>
  </si>
  <si>
    <t>101002000741(248032000-2)</t>
  </si>
  <si>
    <t>248032200-1(101002000716)</t>
    <phoneticPr fontId="1" type="noConversion"/>
  </si>
  <si>
    <t>支撑杆</t>
  </si>
  <si>
    <t>06Cr19Ni10</t>
    <phoneticPr fontId="28" type="noConversion"/>
  </si>
  <si>
    <t>Ø8 L=980mm</t>
    <phoneticPr fontId="28" type="noConversion"/>
  </si>
  <si>
    <t>垫</t>
  </si>
  <si>
    <t>T0.8</t>
  </si>
  <si>
    <t>022Cr17Ni12Mo2</t>
  </si>
  <si>
    <t>右罩</t>
  </si>
  <si>
    <t>手柄</t>
  </si>
  <si>
    <t>101002000878 (248033200-2)</t>
    <phoneticPr fontId="32" type="noConversion"/>
  </si>
  <si>
    <t>101002000734 (248032330-7)</t>
    <phoneticPr fontId="1" type="noConversion"/>
  </si>
  <si>
    <t>101002000655 (146032300-5)</t>
    <phoneticPr fontId="1" type="noConversion"/>
  </si>
  <si>
    <t>101002000890(248033200-14)</t>
    <phoneticPr fontId="1" type="noConversion"/>
  </si>
  <si>
    <t>网板</t>
  </si>
  <si>
    <t>网板-1</t>
  </si>
  <si>
    <t>101002008076-2</t>
  </si>
  <si>
    <t>网板-2</t>
  </si>
  <si>
    <t>101002008076-3</t>
  </si>
  <si>
    <t>网板-3</t>
  </si>
  <si>
    <t>101002008076-1</t>
    <phoneticPr fontId="1" type="noConversion"/>
  </si>
  <si>
    <t>101002000892(248033200-16)</t>
    <phoneticPr fontId="1" type="noConversion"/>
  </si>
  <si>
    <t>101002000893(248033200-17)</t>
  </si>
  <si>
    <t>101002000753（248034000-4）</t>
    <phoneticPr fontId="28" type="noConversion"/>
  </si>
  <si>
    <t>管夹</t>
  </si>
  <si>
    <t>101002007360</t>
  </si>
  <si>
    <t>管夹体</t>
  </si>
  <si>
    <t>夹板</t>
  </si>
  <si>
    <t>101002007362</t>
  </si>
  <si>
    <t>棒</t>
  </si>
  <si>
    <t>φ18圆钢 L=124mm外协</t>
  </si>
  <si>
    <t>101002007361</t>
    <phoneticPr fontId="1" type="noConversion"/>
  </si>
  <si>
    <t>101002006732</t>
    <phoneticPr fontId="28" type="noConversion"/>
  </si>
  <si>
    <t>卡箍</t>
    <phoneticPr fontId="28" type="noConversion"/>
  </si>
  <si>
    <t>/</t>
    <phoneticPr fontId="28" type="noConversion"/>
  </si>
  <si>
    <t>φ10圆钢 L=562mm外协</t>
    <phoneticPr fontId="28" type="noConversion"/>
  </si>
  <si>
    <t>101002010684</t>
    <phoneticPr fontId="28" type="noConversion"/>
  </si>
  <si>
    <t>半圆环</t>
  </si>
  <si>
    <t>101002010680</t>
    <phoneticPr fontId="28" type="noConversion"/>
  </si>
  <si>
    <t>T1</t>
    <phoneticPr fontId="28" type="noConversion"/>
  </si>
  <si>
    <t>101002010681</t>
    <phoneticPr fontId="28" type="noConversion"/>
  </si>
  <si>
    <t>块1</t>
    <phoneticPr fontId="28" type="noConversion"/>
  </si>
  <si>
    <t>T8</t>
    <phoneticPr fontId="28" type="noConversion"/>
  </si>
  <si>
    <t>101002010682</t>
    <phoneticPr fontId="28" type="noConversion"/>
  </si>
  <si>
    <t>块2</t>
  </si>
  <si>
    <t>T6</t>
    <phoneticPr fontId="28" type="noConversion"/>
  </si>
  <si>
    <t>101002010683</t>
    <phoneticPr fontId="28" type="noConversion"/>
  </si>
  <si>
    <t>板</t>
    <phoneticPr fontId="28" type="noConversion"/>
  </si>
  <si>
    <t>T2</t>
    <phoneticPr fontId="28" type="noConversion"/>
  </si>
  <si>
    <t>GB_T 5783</t>
    <phoneticPr fontId="28" type="noConversion"/>
  </si>
  <si>
    <t>六角头螺栓</t>
    <phoneticPr fontId="28" type="noConversion"/>
  </si>
  <si>
    <t>M6X40</t>
    <phoneticPr fontId="28" type="noConversion"/>
  </si>
  <si>
    <t>A2-70</t>
    <phoneticPr fontId="28" type="noConversion"/>
  </si>
  <si>
    <t>101002010685</t>
    <phoneticPr fontId="28" type="noConversion"/>
  </si>
  <si>
    <t>101002010686</t>
    <phoneticPr fontId="28" type="noConversion"/>
  </si>
  <si>
    <t>块3</t>
    <phoneticPr fontId="28" type="noConversion"/>
  </si>
  <si>
    <t>101002001029(248050000-5)</t>
    <phoneticPr fontId="28" type="noConversion"/>
  </si>
  <si>
    <t>测速环</t>
  </si>
  <si>
    <t>101002001062(248060000-1)</t>
  </si>
  <si>
    <t>101002001069(248061000-1)</t>
  </si>
  <si>
    <t>101002001073(248061000-5)</t>
  </si>
  <si>
    <t>101002001075(248061000-7)</t>
  </si>
  <si>
    <t>101002001078(248061000-10)</t>
  </si>
  <si>
    <t>压板</t>
    <phoneticPr fontId="32" type="noConversion"/>
  </si>
  <si>
    <t>248061100(101002001079)</t>
  </si>
  <si>
    <t>箱体</t>
  </si>
  <si>
    <t>101002001081(248061100-2)</t>
  </si>
  <si>
    <t>101002001082(248061100-3)</t>
  </si>
  <si>
    <t>T22</t>
  </si>
  <si>
    <t>101002001084(248061100-5)</t>
  </si>
  <si>
    <t>柱</t>
  </si>
  <si>
    <t>101002001080(248061100-1)</t>
    <phoneticPr fontId="1" type="noConversion"/>
  </si>
  <si>
    <t>101002001085(248061100-6)</t>
    <phoneticPr fontId="1" type="noConversion"/>
  </si>
  <si>
    <t>101002001086(248061100-7)</t>
    <phoneticPr fontId="1" type="noConversion"/>
  </si>
  <si>
    <t>101002001088(248061100-9)</t>
    <phoneticPr fontId="1" type="noConversion"/>
  </si>
  <si>
    <t>101002001090(248061100-11)</t>
    <phoneticPr fontId="1" type="noConversion"/>
  </si>
  <si>
    <t>101002001091(248061100-12)</t>
    <phoneticPr fontId="1" type="noConversion"/>
  </si>
  <si>
    <t>101002001095(248062000)</t>
  </si>
  <si>
    <t>接料体</t>
  </si>
  <si>
    <t>101002001096(248062000-1)</t>
  </si>
  <si>
    <t>101002001096-1</t>
    <phoneticPr fontId="28" type="noConversion"/>
  </si>
  <si>
    <t>101002001096-2</t>
    <phoneticPr fontId="28" type="noConversion"/>
  </si>
  <si>
    <t>101002001098(248062000-3)</t>
  </si>
  <si>
    <t>圆棒</t>
  </si>
  <si>
    <t>上板</t>
  </si>
  <si>
    <t>101002001101(248062000-6)</t>
  </si>
  <si>
    <t>101002001102(248062000-7)</t>
  </si>
  <si>
    <t>管</t>
  </si>
  <si>
    <t>101002001103(248062000-8)</t>
  </si>
  <si>
    <t>101002001105-1</t>
    <phoneticPr fontId="28" type="noConversion"/>
  </si>
  <si>
    <t>支架板1</t>
  </si>
  <si>
    <t>101002001105-2</t>
    <phoneticPr fontId="28" type="noConversion"/>
  </si>
  <si>
    <t>支架板2</t>
  </si>
  <si>
    <t xml:space="preserve">GB_T13681 </t>
  </si>
  <si>
    <t>外六角焊接螺母</t>
  </si>
  <si>
    <t>101002001108(248062200)</t>
  </si>
  <si>
    <t>101002001108-1</t>
  </si>
  <si>
    <t xml:space="preserve">GB_T13681 </t>
    <phoneticPr fontId="28" type="noConversion"/>
  </si>
  <si>
    <t>Ø16 L=40mm</t>
    <phoneticPr fontId="28" type="noConversion"/>
  </si>
  <si>
    <t>滚圆</t>
  </si>
  <si>
    <t>Ø16 L=47mm</t>
    <phoneticPr fontId="28" type="noConversion"/>
  </si>
  <si>
    <t>M10 外购</t>
    <phoneticPr fontId="28" type="noConversion"/>
  </si>
  <si>
    <t xml:space="preserve"> 左右对称制作</t>
  </si>
  <si>
    <t>95.1.1</t>
    <phoneticPr fontId="28" type="noConversion"/>
  </si>
  <si>
    <t>95.1.2</t>
    <phoneticPr fontId="28" type="noConversion"/>
  </si>
  <si>
    <t>95.1.3</t>
    <phoneticPr fontId="28" type="noConversion"/>
  </si>
  <si>
    <t>95.9.1</t>
    <phoneticPr fontId="28" type="noConversion"/>
  </si>
  <si>
    <t>95.9.2</t>
    <phoneticPr fontId="28" type="noConversion"/>
  </si>
  <si>
    <t>95.9.3</t>
    <phoneticPr fontId="1" type="noConversion"/>
  </si>
  <si>
    <t>95.10.1</t>
    <phoneticPr fontId="28" type="noConversion"/>
  </si>
  <si>
    <t>95.10.2</t>
    <phoneticPr fontId="28" type="noConversion"/>
  </si>
  <si>
    <t>95.10.3</t>
    <phoneticPr fontId="28" type="noConversion"/>
  </si>
  <si>
    <t>101002001097(248062000-2)</t>
    <phoneticPr fontId="1" type="noConversion"/>
  </si>
  <si>
    <t>101002001104(248062000-9)</t>
    <phoneticPr fontId="1" type="noConversion"/>
  </si>
  <si>
    <t>下支架</t>
  </si>
  <si>
    <t>248037110-1</t>
    <phoneticPr fontId="28" type="noConversion"/>
  </si>
  <si>
    <t>248037110-2</t>
    <phoneticPr fontId="28" type="noConversion"/>
  </si>
  <si>
    <t>上支架</t>
  </si>
  <si>
    <t>248037120-1</t>
    <phoneticPr fontId="28" type="noConversion"/>
  </si>
  <si>
    <t>槽钢</t>
  </si>
  <si>
    <t>248037120-2</t>
    <phoneticPr fontId="28" type="noConversion"/>
  </si>
  <si>
    <t>248037120-3</t>
    <phoneticPr fontId="28" type="noConversion"/>
  </si>
  <si>
    <t>长板</t>
  </si>
  <si>
    <t>外六角焊接螺母</t>
    <phoneticPr fontId="1" type="noConversion"/>
  </si>
  <si>
    <t>101002001108-2</t>
    <phoneticPr fontId="1" type="noConversion"/>
  </si>
  <si>
    <t>101002001105(248062100)</t>
    <phoneticPr fontId="1" type="noConversion"/>
  </si>
  <si>
    <t>M8X20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</si>
</sst>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00"/>
    <numFmt numFmtId="177" formatCode="0_);[Red]\(0\)"/>
    <numFmt numFmtId="178" formatCode="0_ "/>
    <numFmt numFmtId="179" formatCode="0.00;[Red]0.00"/>
  </numFmts>
  <fonts count="3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2"/>
      <color theme="1"/>
      <name val="宋体"/>
      <family val="3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C00000"/>
      <name val="等线"/>
      <family val="3"/>
      <charset val="134"/>
    </font>
    <font>
      <sz val="9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9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5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9" fontId="6" fillId="2" borderId="1" xfId="1" applyNumberFormat="1" applyFont="1" applyFill="1" applyBorder="1" applyAlignment="1">
      <alignment horizontal="center" shrinkToFit="1"/>
    </xf>
    <xf numFmtId="176" fontId="10" fillId="0" borderId="1" xfId="2" applyNumberFormat="1" applyFont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center" vertical="center" shrinkToFit="1"/>
    </xf>
    <xf numFmtId="0" fontId="10" fillId="0" borderId="1" xfId="2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shrinkToFit="1"/>
    </xf>
    <xf numFmtId="176" fontId="7" fillId="0" borderId="1" xfId="0" applyNumberFormat="1" applyFon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176" fontId="0" fillId="0" borderId="1" xfId="0" applyNumberForma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49" fontId="6" fillId="2" borderId="1" xfId="0" applyNumberFormat="1" applyFont="1" applyFill="1" applyBorder="1" applyAlignment="1">
      <alignment horizontal="center" shrinkToFit="1"/>
    </xf>
    <xf numFmtId="49" fontId="0" fillId="0" borderId="1" xfId="0" applyNumberForma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/>
    </xf>
    <xf numFmtId="176" fontId="6" fillId="0" borderId="1" xfId="0" quotePrefix="1" applyNumberFormat="1" applyFont="1" applyBorder="1" applyAlignment="1">
      <alignment horizontal="center" shrinkToFit="1"/>
    </xf>
    <xf numFmtId="0" fontId="10" fillId="0" borderId="1" xfId="0" applyFont="1" applyBorder="1" applyAlignment="1">
      <alignment horizontal="center" vertical="center"/>
    </xf>
    <xf numFmtId="176" fontId="10" fillId="0" borderId="1" xfId="0" quotePrefix="1" applyNumberFormat="1" applyFont="1" applyBorder="1" applyAlignment="1">
      <alignment horizontal="center" vertical="center" shrinkToFit="1"/>
    </xf>
    <xf numFmtId="0" fontId="10" fillId="0" borderId="1" xfId="0" quotePrefix="1" applyFont="1" applyBorder="1" applyAlignment="1">
      <alignment horizontal="center" vertical="center"/>
    </xf>
    <xf numFmtId="0" fontId="10" fillId="0" borderId="1" xfId="46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shrinkToFit="1"/>
    </xf>
    <xf numFmtId="49" fontId="7" fillId="0" borderId="1" xfId="0" applyNumberFormat="1" applyFont="1" applyBorder="1" applyAlignment="1">
      <alignment horizontal="center" vertical="center" shrinkToFit="1"/>
    </xf>
    <xf numFmtId="176" fontId="6" fillId="2" borderId="1" xfId="0" applyNumberFormat="1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 shrinkToFit="1"/>
    </xf>
    <xf numFmtId="0" fontId="6" fillId="2" borderId="1" xfId="2" applyFont="1" applyFill="1" applyBorder="1" applyAlignment="1">
      <alignment horizontal="center" vertical="center" shrinkToFit="1"/>
    </xf>
    <xf numFmtId="176" fontId="6" fillId="2" borderId="1" xfId="2" applyNumberFormat="1" applyFont="1" applyFill="1" applyBorder="1" applyAlignment="1">
      <alignment horizontal="right" vertical="center" shrinkToFit="1"/>
    </xf>
    <xf numFmtId="0" fontId="10" fillId="0" borderId="1" xfId="0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shrinkToFit="1"/>
    </xf>
    <xf numFmtId="0" fontId="10" fillId="0" borderId="1" xfId="0" quotePrefix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shrinkToFit="1"/>
    </xf>
    <xf numFmtId="0" fontId="10" fillId="0" borderId="1" xfId="4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 shrinkToFit="1"/>
    </xf>
    <xf numFmtId="176" fontId="10" fillId="0" borderId="1" xfId="0" quotePrefix="1" applyNumberFormat="1" applyFont="1" applyBorder="1" applyAlignment="1">
      <alignment horizontal="center" vertical="center" wrapText="1" shrinkToFit="1"/>
    </xf>
    <xf numFmtId="178" fontId="10" fillId="0" borderId="1" xfId="0" applyNumberFormat="1" applyFont="1" applyBorder="1" applyAlignment="1">
      <alignment horizontal="center" vertical="center" wrapText="1"/>
    </xf>
    <xf numFmtId="176" fontId="30" fillId="0" borderId="1" xfId="3" applyNumberFormat="1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176" fontId="8" fillId="2" borderId="1" xfId="0" applyNumberFormat="1" applyFont="1" applyFill="1" applyBorder="1" applyAlignment="1">
      <alignment horizontal="center"/>
    </xf>
    <xf numFmtId="49" fontId="8" fillId="2" borderId="1" xfId="47" applyNumberFormat="1" applyFont="1" applyFill="1" applyBorder="1" applyAlignment="1">
      <alignment horizontal="center" shrinkToFit="1"/>
    </xf>
    <xf numFmtId="177" fontId="8" fillId="2" borderId="1" xfId="47" applyNumberFormat="1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49" fontId="6" fillId="2" borderId="1" xfId="47" applyNumberFormat="1" applyFont="1" applyFill="1" applyBorder="1" applyAlignment="1">
      <alignment horizontal="center" shrinkToFit="1"/>
    </xf>
    <xf numFmtId="177" fontId="6" fillId="2" borderId="1" xfId="47" applyNumberFormat="1" applyFont="1" applyFill="1" applyBorder="1" applyAlignment="1">
      <alignment horizontal="center" shrinkToFit="1"/>
    </xf>
    <xf numFmtId="0" fontId="6" fillId="2" borderId="1" xfId="47" applyFont="1" applyFill="1" applyBorder="1" applyAlignment="1">
      <alignment horizontal="center"/>
    </xf>
    <xf numFmtId="0" fontId="30" fillId="0" borderId="1" xfId="3" applyFont="1" applyBorder="1" applyAlignment="1">
      <alignment horizontal="center" vertical="center" shrinkToFit="1"/>
    </xf>
    <xf numFmtId="49" fontId="10" fillId="0" borderId="1" xfId="0" applyNumberFormat="1" applyFont="1" applyBorder="1" applyAlignment="1">
      <alignment horizontal="center" vertical="center" shrinkToFit="1"/>
    </xf>
    <xf numFmtId="179" fontId="10" fillId="0" borderId="1" xfId="0" applyNumberFormat="1" applyFont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</cellXfs>
  <cellStyles count="48">
    <cellStyle name="20% - 着色 1" xfId="23" builtinId="30" customBuiltin="1"/>
    <cellStyle name="20% - 着色 2" xfId="27" builtinId="34" customBuiltin="1"/>
    <cellStyle name="20% - 着色 3" xfId="31" builtinId="38" customBuiltin="1"/>
    <cellStyle name="20% - 着色 4" xfId="35" builtinId="42" customBuiltin="1"/>
    <cellStyle name="20% - 着色 5" xfId="39" builtinId="46" customBuiltin="1"/>
    <cellStyle name="20% - 着色 6" xfId="43" builtinId="50" customBuiltin="1"/>
    <cellStyle name="40% - 着色 1" xfId="24" builtinId="31" customBuiltin="1"/>
    <cellStyle name="40% - 着色 2" xfId="28" builtinId="35" customBuiltin="1"/>
    <cellStyle name="40% - 着色 3" xfId="32" builtinId="39" customBuiltin="1"/>
    <cellStyle name="40% - 着色 4" xfId="36" builtinId="43" customBuiltin="1"/>
    <cellStyle name="40% - 着色 5" xfId="40" builtinId="47" customBuiltin="1"/>
    <cellStyle name="40% - 着色 6" xfId="44" builtinId="51" customBuiltin="1"/>
    <cellStyle name="60% - 着色 1" xfId="25" builtinId="32" customBuiltin="1"/>
    <cellStyle name="60% - 着色 2" xfId="29" builtinId="36" customBuiltin="1"/>
    <cellStyle name="60% - 着色 3" xfId="33" builtinId="40" customBuiltin="1"/>
    <cellStyle name="60% - 着色 4" xfId="37" builtinId="44" customBuiltin="1"/>
    <cellStyle name="60% - 着色 5" xfId="41" builtinId="48" customBuiltin="1"/>
    <cellStyle name="60% - 着色 6" xfId="45" builtinId="52" customBuiltin="1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差" xfId="11" builtinId="27" customBuiltin="1"/>
    <cellStyle name="常规" xfId="0" builtinId="0"/>
    <cellStyle name="常规 160" xfId="47" xr:uid="{724B04F3-5056-43C9-8AA6-4D3290644B7D}"/>
    <cellStyle name="常规 2" xfId="2" xr:uid="{DE41A249-3935-4D90-97FD-0FA06FACD79F}"/>
    <cellStyle name="常规 2 81 10 10" xfId="46" xr:uid="{7598311B-1D0B-4F57-A62B-2686DD8ED113}"/>
    <cellStyle name="常规 3" xfId="4" xr:uid="{3BCEB43C-D199-4400-9490-3AA4A3888BD4}"/>
    <cellStyle name="常规 4" xfId="3" xr:uid="{473FAF0F-74F0-4CE9-8B23-F79558D8AFDB}"/>
    <cellStyle name="常规 5" xfId="1" xr:uid="{91A46B05-8676-452B-974E-ABAC22E8FDE1}"/>
    <cellStyle name="好" xfId="10" builtinId="26" customBuiltin="1"/>
    <cellStyle name="汇总" xfId="21" builtinId="25" customBuiltin="1"/>
    <cellStyle name="计算" xfId="15" builtinId="22" customBuiltin="1"/>
    <cellStyle name="检查单元格" xfId="17" builtinId="23" customBuiltin="1"/>
    <cellStyle name="解释性文本" xfId="20" builtinId="53" customBuiltin="1"/>
    <cellStyle name="警告文本" xfId="18" builtinId="11" customBuiltin="1"/>
    <cellStyle name="链接单元格" xfId="16" builtinId="24" customBuiltin="1"/>
    <cellStyle name="适中" xfId="12" builtinId="28" customBuiltin="1"/>
    <cellStyle name="输出" xfId="14" builtinId="21" customBuiltin="1"/>
    <cellStyle name="输入" xfId="13" builtinId="20" customBuiltin="1"/>
    <cellStyle name="着色 1" xfId="22" builtinId="29" customBuiltin="1"/>
    <cellStyle name="着色 2" xfId="26" builtinId="33" customBuiltin="1"/>
    <cellStyle name="着色 3" xfId="30" builtinId="37" customBuiltin="1"/>
    <cellStyle name="着色 4" xfId="34" builtinId="41" customBuiltin="1"/>
    <cellStyle name="着色 5" xfId="38" builtinId="45" customBuiltin="1"/>
    <cellStyle name="着色 6" xfId="42" builtinId="49" customBuiltin="1"/>
    <cellStyle name="注释" xfId="19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101</xdr:row>
      <xdr:rowOff>0</xdr:rowOff>
    </xdr:from>
    <xdr:to>
      <xdr:col>3</xdr:col>
      <xdr:colOff>1114425</xdr:colOff>
      <xdr:row>102</xdr:row>
      <xdr:rowOff>187140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D352814-E8DB-482D-8109-84D2DD2A20AA}"/>
            </a:ext>
          </a:extLst>
        </xdr:cNvPr>
        <xdr:cNvSpPr txBox="1">
          <a:spLocks noChangeArrowheads="1"/>
        </xdr:cNvSpPr>
      </xdr:nvSpPr>
      <xdr:spPr bwMode="auto">
        <a:xfrm>
          <a:off x="39528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101</xdr:row>
      <xdr:rowOff>0</xdr:rowOff>
    </xdr:from>
    <xdr:to>
      <xdr:col>3</xdr:col>
      <xdr:colOff>1114425</xdr:colOff>
      <xdr:row>102</xdr:row>
      <xdr:rowOff>187140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EF12D9E-54BC-4F05-A1A3-C14140E66BFB}"/>
            </a:ext>
          </a:extLst>
        </xdr:cNvPr>
        <xdr:cNvSpPr txBox="1">
          <a:spLocks noChangeArrowheads="1"/>
        </xdr:cNvSpPr>
      </xdr:nvSpPr>
      <xdr:spPr bwMode="auto">
        <a:xfrm>
          <a:off x="39528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101</xdr:row>
      <xdr:rowOff>0</xdr:rowOff>
    </xdr:from>
    <xdr:to>
      <xdr:col>3</xdr:col>
      <xdr:colOff>1114425</xdr:colOff>
      <xdr:row>102</xdr:row>
      <xdr:rowOff>187140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AB3CE94-707E-4FF6-8D49-D752D11C9D51}"/>
            </a:ext>
          </a:extLst>
        </xdr:cNvPr>
        <xdr:cNvSpPr txBox="1">
          <a:spLocks noChangeArrowheads="1"/>
        </xdr:cNvSpPr>
      </xdr:nvSpPr>
      <xdr:spPr bwMode="auto">
        <a:xfrm>
          <a:off x="39528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101</xdr:row>
      <xdr:rowOff>0</xdr:rowOff>
    </xdr:from>
    <xdr:to>
      <xdr:col>3</xdr:col>
      <xdr:colOff>1114425</xdr:colOff>
      <xdr:row>102</xdr:row>
      <xdr:rowOff>187140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C88DB0A3-519E-4AF3-BD0D-C0178790E788}"/>
            </a:ext>
          </a:extLst>
        </xdr:cNvPr>
        <xdr:cNvSpPr txBox="1">
          <a:spLocks noChangeArrowheads="1"/>
        </xdr:cNvSpPr>
      </xdr:nvSpPr>
      <xdr:spPr bwMode="auto">
        <a:xfrm>
          <a:off x="39528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101</xdr:row>
      <xdr:rowOff>0</xdr:rowOff>
    </xdr:from>
    <xdr:to>
      <xdr:col>2</xdr:col>
      <xdr:colOff>1114425</xdr:colOff>
      <xdr:row>102</xdr:row>
      <xdr:rowOff>187140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8947634F-5F58-47FB-A52C-FD96367716D2}"/>
            </a:ext>
          </a:extLst>
        </xdr:cNvPr>
        <xdr:cNvSpPr txBox="1">
          <a:spLocks noChangeArrowheads="1"/>
        </xdr:cNvSpPr>
      </xdr:nvSpPr>
      <xdr:spPr bwMode="auto">
        <a:xfrm>
          <a:off x="27336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101</xdr:row>
      <xdr:rowOff>0</xdr:rowOff>
    </xdr:from>
    <xdr:to>
      <xdr:col>2</xdr:col>
      <xdr:colOff>1114425</xdr:colOff>
      <xdr:row>102</xdr:row>
      <xdr:rowOff>187140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C7FC0F69-8A43-4719-8E3C-2F9DC1CCAAF8}"/>
            </a:ext>
          </a:extLst>
        </xdr:cNvPr>
        <xdr:cNvSpPr txBox="1">
          <a:spLocks noChangeArrowheads="1"/>
        </xdr:cNvSpPr>
      </xdr:nvSpPr>
      <xdr:spPr bwMode="auto">
        <a:xfrm>
          <a:off x="27336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101</xdr:row>
      <xdr:rowOff>0</xdr:rowOff>
    </xdr:from>
    <xdr:to>
      <xdr:col>2</xdr:col>
      <xdr:colOff>1114425</xdr:colOff>
      <xdr:row>102</xdr:row>
      <xdr:rowOff>187140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6E408035-A85C-4307-9592-0E8FEC237862}"/>
            </a:ext>
          </a:extLst>
        </xdr:cNvPr>
        <xdr:cNvSpPr txBox="1">
          <a:spLocks noChangeArrowheads="1"/>
        </xdr:cNvSpPr>
      </xdr:nvSpPr>
      <xdr:spPr bwMode="auto">
        <a:xfrm>
          <a:off x="27336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257175</xdr:colOff>
      <xdr:row>101</xdr:row>
      <xdr:rowOff>0</xdr:rowOff>
    </xdr:from>
    <xdr:to>
      <xdr:col>3</xdr:col>
      <xdr:colOff>633942</xdr:colOff>
      <xdr:row>102</xdr:row>
      <xdr:rowOff>187140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1B7C92BF-8AEE-4116-A095-7EA262780CE1}"/>
            </a:ext>
          </a:extLst>
        </xdr:cNvPr>
        <xdr:cNvSpPr txBox="1">
          <a:spLocks noChangeArrowheads="1"/>
        </xdr:cNvSpPr>
      </xdr:nvSpPr>
      <xdr:spPr bwMode="auto">
        <a:xfrm>
          <a:off x="31623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twoCellAnchor>
  <xdr:twoCellAnchor editAs="oneCell">
    <xdr:from>
      <xdr:col>2</xdr:col>
      <xdr:colOff>1047750</xdr:colOff>
      <xdr:row>101</xdr:row>
      <xdr:rowOff>0</xdr:rowOff>
    </xdr:from>
    <xdr:to>
      <xdr:col>2</xdr:col>
      <xdr:colOff>1114425</xdr:colOff>
      <xdr:row>102</xdr:row>
      <xdr:rowOff>187140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11AA0C8E-95BA-4D5C-96FC-C818E71C9349}"/>
            </a:ext>
          </a:extLst>
        </xdr:cNvPr>
        <xdr:cNvSpPr txBox="1">
          <a:spLocks noChangeArrowheads="1"/>
        </xdr:cNvSpPr>
      </xdr:nvSpPr>
      <xdr:spPr bwMode="auto">
        <a:xfrm>
          <a:off x="2733675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14</xdr:col>
      <xdr:colOff>590550</xdr:colOff>
      <xdr:row>102</xdr:row>
      <xdr:rowOff>19050</xdr:rowOff>
    </xdr:from>
    <xdr:ext cx="66675" cy="434790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1A4408F5-74F0-4FCF-8CA3-030BE3ACB249}"/>
            </a:ext>
          </a:extLst>
        </xdr:cNvPr>
        <xdr:cNvSpPr txBox="1">
          <a:spLocks noChangeArrowheads="1"/>
        </xdr:cNvSpPr>
      </xdr:nvSpPr>
      <xdr:spPr bwMode="auto">
        <a:xfrm>
          <a:off x="10048875" y="19735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13</xdr:col>
      <xdr:colOff>352425</xdr:colOff>
      <xdr:row>101</xdr:row>
      <xdr:rowOff>238125</xdr:rowOff>
    </xdr:from>
    <xdr:ext cx="66675" cy="434790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5D2A3730-2C68-45A9-A614-222FA6B49223}"/>
            </a:ext>
          </a:extLst>
        </xdr:cNvPr>
        <xdr:cNvSpPr txBox="1">
          <a:spLocks noChangeArrowheads="1"/>
        </xdr:cNvSpPr>
      </xdr:nvSpPr>
      <xdr:spPr bwMode="auto">
        <a:xfrm>
          <a:off x="9124950" y="197072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15</xdr:col>
      <xdr:colOff>38100</xdr:colOff>
      <xdr:row>101</xdr:row>
      <xdr:rowOff>114300</xdr:rowOff>
    </xdr:from>
    <xdr:ext cx="66675" cy="43479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D97C055B-3D7B-4F6B-AFB0-D710F3F7A2F1}"/>
            </a:ext>
          </a:extLst>
        </xdr:cNvPr>
        <xdr:cNvSpPr txBox="1">
          <a:spLocks noChangeArrowheads="1"/>
        </xdr:cNvSpPr>
      </xdr:nvSpPr>
      <xdr:spPr bwMode="auto">
        <a:xfrm>
          <a:off x="10182225" y="195834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15</xdr:col>
      <xdr:colOff>390525</xdr:colOff>
      <xdr:row>101</xdr:row>
      <xdr:rowOff>0</xdr:rowOff>
    </xdr:from>
    <xdr:to>
      <xdr:col>15</xdr:col>
      <xdr:colOff>457200</xdr:colOff>
      <xdr:row>103</xdr:row>
      <xdr:rowOff>91890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F3C5136C-0C57-41F2-963B-733902818683}"/>
            </a:ext>
          </a:extLst>
        </xdr:cNvPr>
        <xdr:cNvSpPr txBox="1">
          <a:spLocks noChangeArrowheads="1"/>
        </xdr:cNvSpPr>
      </xdr:nvSpPr>
      <xdr:spPr bwMode="auto">
        <a:xfrm>
          <a:off x="10534650" y="19469100"/>
          <a:ext cx="66675" cy="587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514350</xdr:colOff>
      <xdr:row>101</xdr:row>
      <xdr:rowOff>0</xdr:rowOff>
    </xdr:from>
    <xdr:to>
      <xdr:col>13</xdr:col>
      <xdr:colOff>581025</xdr:colOff>
      <xdr:row>103</xdr:row>
      <xdr:rowOff>91890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637BBA6C-E24E-4378-A4E9-3A187493D2F5}"/>
            </a:ext>
          </a:extLst>
        </xdr:cNvPr>
        <xdr:cNvSpPr txBox="1">
          <a:spLocks noChangeArrowheads="1"/>
        </xdr:cNvSpPr>
      </xdr:nvSpPr>
      <xdr:spPr bwMode="auto">
        <a:xfrm>
          <a:off x="9286875" y="19459575"/>
          <a:ext cx="66675" cy="587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238125</xdr:colOff>
      <xdr:row>101</xdr:row>
      <xdr:rowOff>0</xdr:rowOff>
    </xdr:from>
    <xdr:to>
      <xdr:col>15</xdr:col>
      <xdr:colOff>304800</xdr:colOff>
      <xdr:row>103</xdr:row>
      <xdr:rowOff>91890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594BB0E0-F817-4325-AFF3-E34E7773A7F7}"/>
            </a:ext>
          </a:extLst>
        </xdr:cNvPr>
        <xdr:cNvSpPr txBox="1">
          <a:spLocks noChangeArrowheads="1"/>
        </xdr:cNvSpPr>
      </xdr:nvSpPr>
      <xdr:spPr bwMode="auto">
        <a:xfrm>
          <a:off x="10382250" y="19230975"/>
          <a:ext cx="66675" cy="587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1047750</xdr:colOff>
      <xdr:row>101</xdr:row>
      <xdr:rowOff>0</xdr:rowOff>
    </xdr:from>
    <xdr:ext cx="376767" cy="434790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57BADF80-4AD7-4577-9476-7C1ECD05D917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66675" cy="434790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4F08B82F-D1E7-4A20-B578-E74647847AFA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434790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F7C60F81-F72D-435B-B677-5BFDA6ECD596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66675" cy="434790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53227223-4084-4693-A8E3-48C62D9D6164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434790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75CE08C9-B0E6-4EBA-849C-097EA9972391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66675" cy="434790"/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C33689B5-8305-4580-BAA4-B7A6BB25907E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434790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0D376CC3-8939-492F-8E2C-BDCC718B82BA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66675" cy="434790"/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11741205-49B9-4821-BF34-FAD822921A5F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434790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701D9B92-4866-4E29-8638-538346F04F37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434790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4622BF67-90CB-49F8-8222-3DB2E8838D15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434790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338F774A-B990-4863-AE37-A3C057F88412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587190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F8BF9F94-4A05-4498-898C-01152CEF6332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587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587190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9664F910-ABEF-4CD4-8372-717E14886396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587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101</xdr:row>
      <xdr:rowOff>0</xdr:rowOff>
    </xdr:from>
    <xdr:ext cx="376767" cy="587190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A8909B6C-2D3D-44AC-9B0E-7EF6F898239B}"/>
            </a:ext>
          </a:extLst>
        </xdr:cNvPr>
        <xdr:cNvSpPr txBox="1">
          <a:spLocks noChangeArrowheads="1"/>
        </xdr:cNvSpPr>
      </xdr:nvSpPr>
      <xdr:spPr bwMode="auto">
        <a:xfrm>
          <a:off x="4495800" y="647700"/>
          <a:ext cx="376767" cy="587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93</xdr:row>
      <xdr:rowOff>247649</xdr:rowOff>
    </xdr:from>
    <xdr:ext cx="438150" cy="67627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8F7C7725-E76E-40D6-B4CC-75593288633D}"/>
            </a:ext>
          </a:extLst>
        </xdr:cNvPr>
        <xdr:cNvSpPr txBox="1">
          <a:spLocks noChangeArrowheads="1"/>
        </xdr:cNvSpPr>
      </xdr:nvSpPr>
      <xdr:spPr bwMode="auto">
        <a:xfrm>
          <a:off x="4495800" y="2381249"/>
          <a:ext cx="4381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1EF-42A2-4C02-BF96-D5276E3EDC51}">
  <dimension ref="A1:K190"/>
  <sheetViews>
    <sheetView tabSelected="1" workbookViewId="0">
      <pane xSplit="11" ySplit="1" topLeftCell="L2" activePane="bottomRight" state="frozen"/>
      <selection pane="topRight" activeCell="L1" sqref="L1"/>
      <selection pane="bottomLeft" activeCell="A4" sqref="A4"/>
      <selection pane="bottomRight" sqref="A1:XFD2"/>
    </sheetView>
  </sheetViews>
  <sheetFormatPr defaultRowHeight="14.25"/>
  <cols>
    <col min="1" max="1" width="6" style="14" customWidth="1"/>
    <col min="2" max="2" width="13.75" style="12" customWidth="1"/>
    <col min="3" max="3" width="16" style="12" customWidth="1"/>
    <col min="4" max="4" width="16.75" style="14" customWidth="1"/>
    <col min="5" max="5" width="6.5" style="14" customWidth="1"/>
    <col min="6" max="7" width="0" style="14" hidden="1" customWidth="1"/>
    <col min="8" max="8" width="10" style="15" customWidth="1"/>
    <col min="9" max="9" width="5.5" style="14" customWidth="1"/>
    <col min="10" max="10" width="7.25" style="14" customWidth="1"/>
    <col min="11" max="11" width="15.375" style="14" customWidth="1"/>
  </cols>
  <sheetData>
    <row r="1" spans="1:11" ht="20.10000000000000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3" t="s">
        <v>5</v>
      </c>
      <c r="I1" s="1" t="s">
        <v>6</v>
      </c>
      <c r="J1" s="1" t="s">
        <v>7</v>
      </c>
      <c r="K1" s="1" t="s">
        <v>8</v>
      </c>
    </row>
    <row r="2" spans="1:11" ht="20.100000000000001" customHeight="1">
      <c r="A2" s="16">
        <v>47</v>
      </c>
      <c r="B2" s="17"/>
      <c r="C2" s="9" t="s">
        <v>147</v>
      </c>
      <c r="D2" s="9" t="s">
        <v>140</v>
      </c>
      <c r="E2" s="11" t="s">
        <v>141</v>
      </c>
      <c r="F2" s="6"/>
      <c r="G2" s="6"/>
      <c r="H2" s="11" t="s">
        <v>141</v>
      </c>
      <c r="I2" s="11">
        <v>1</v>
      </c>
      <c r="J2" s="6">
        <f>I2*2</f>
        <v>2</v>
      </c>
      <c r="K2" s="4"/>
    </row>
    <row r="3" spans="1:11" ht="20.100000000000001" customHeight="1">
      <c r="A3" s="16"/>
      <c r="B3" s="18"/>
      <c r="C3" s="29" t="s">
        <v>142</v>
      </c>
      <c r="D3" s="30" t="s">
        <v>15</v>
      </c>
      <c r="E3" s="31" t="s">
        <v>14</v>
      </c>
      <c r="F3" s="6"/>
      <c r="G3" s="6"/>
      <c r="H3" s="30" t="s">
        <v>11</v>
      </c>
      <c r="I3" s="31">
        <v>1</v>
      </c>
      <c r="J3" s="6">
        <f t="shared" ref="J3:J5" si="0">I3*2</f>
        <v>2</v>
      </c>
      <c r="K3" s="13"/>
    </row>
    <row r="4" spans="1:11" ht="20.100000000000001" customHeight="1">
      <c r="A4" s="16"/>
      <c r="B4" s="19"/>
      <c r="C4" s="29" t="s">
        <v>143</v>
      </c>
      <c r="D4" s="30" t="s">
        <v>144</v>
      </c>
      <c r="E4" s="31" t="s">
        <v>14</v>
      </c>
      <c r="F4" s="20"/>
      <c r="G4" s="20"/>
      <c r="H4" s="30" t="s">
        <v>146</v>
      </c>
      <c r="I4" s="31">
        <v>2</v>
      </c>
      <c r="J4" s="6">
        <f t="shared" si="0"/>
        <v>4</v>
      </c>
      <c r="K4" s="13"/>
    </row>
    <row r="5" spans="1:11" ht="20.100000000000001" customHeight="1">
      <c r="A5" s="16"/>
      <c r="B5" s="19"/>
      <c r="C5" s="32">
        <v>101002000252</v>
      </c>
      <c r="D5" s="30" t="s">
        <v>13</v>
      </c>
      <c r="E5" s="31" t="s">
        <v>145</v>
      </c>
      <c r="F5" s="6"/>
      <c r="G5" s="6"/>
      <c r="H5" s="30" t="s">
        <v>146</v>
      </c>
      <c r="I5" s="31">
        <v>2</v>
      </c>
      <c r="J5" s="6">
        <f t="shared" si="0"/>
        <v>4</v>
      </c>
      <c r="K5" s="13"/>
    </row>
    <row r="6" spans="1:11" ht="20.100000000000001" customHeight="1">
      <c r="A6" s="16">
        <v>48</v>
      </c>
      <c r="B6" s="19"/>
      <c r="C6" s="9" t="s">
        <v>163</v>
      </c>
      <c r="D6" s="9" t="s">
        <v>148</v>
      </c>
      <c r="E6" s="11" t="s">
        <v>149</v>
      </c>
      <c r="F6" s="6"/>
      <c r="G6" s="6"/>
      <c r="H6" s="11" t="s">
        <v>149</v>
      </c>
      <c r="I6" s="11">
        <v>1</v>
      </c>
      <c r="J6" s="6">
        <f>I6*3</f>
        <v>3</v>
      </c>
      <c r="K6" s="13"/>
    </row>
    <row r="7" spans="1:11" ht="20.100000000000001" customHeight="1">
      <c r="A7" s="16"/>
      <c r="B7" s="19"/>
      <c r="C7" s="9" t="s">
        <v>150</v>
      </c>
      <c r="D7" s="9" t="s">
        <v>151</v>
      </c>
      <c r="E7" s="11" t="s">
        <v>149</v>
      </c>
      <c r="F7" s="6"/>
      <c r="G7" s="6"/>
      <c r="H7" s="11" t="s">
        <v>149</v>
      </c>
      <c r="I7" s="11">
        <v>1</v>
      </c>
      <c r="J7" s="6">
        <f t="shared" ref="J7:J13" si="1">I7*3</f>
        <v>3</v>
      </c>
      <c r="K7" s="13"/>
    </row>
    <row r="8" spans="1:11" ht="20.100000000000001" customHeight="1">
      <c r="A8" s="16"/>
      <c r="B8" s="19"/>
      <c r="C8" s="9" t="s">
        <v>164</v>
      </c>
      <c r="D8" s="9" t="s">
        <v>13</v>
      </c>
      <c r="E8" s="11" t="s">
        <v>16</v>
      </c>
      <c r="F8" s="6"/>
      <c r="G8" s="6"/>
      <c r="H8" s="11" t="s">
        <v>11</v>
      </c>
      <c r="I8" s="11">
        <v>2</v>
      </c>
      <c r="J8" s="6">
        <f t="shared" si="1"/>
        <v>6</v>
      </c>
      <c r="K8" s="13"/>
    </row>
    <row r="9" spans="1:11" ht="20.100000000000001" customHeight="1">
      <c r="A9" s="16"/>
      <c r="B9" s="19"/>
      <c r="C9" s="9" t="s">
        <v>152</v>
      </c>
      <c r="D9" s="9" t="s">
        <v>13</v>
      </c>
      <c r="E9" s="11" t="s">
        <v>16</v>
      </c>
      <c r="F9" s="6"/>
      <c r="G9" s="6"/>
      <c r="H9" s="11" t="s">
        <v>11</v>
      </c>
      <c r="I9" s="11">
        <v>3</v>
      </c>
      <c r="J9" s="6">
        <f t="shared" si="1"/>
        <v>9</v>
      </c>
      <c r="K9" s="13"/>
    </row>
    <row r="10" spans="1:11" ht="20.100000000000001" customHeight="1">
      <c r="A10" s="16"/>
      <c r="B10" s="19"/>
      <c r="C10" s="9" t="s">
        <v>153</v>
      </c>
      <c r="D10" s="9" t="s">
        <v>154</v>
      </c>
      <c r="E10" s="11" t="s">
        <v>155</v>
      </c>
      <c r="F10" s="6"/>
      <c r="G10" s="6"/>
      <c r="H10" s="11" t="s">
        <v>162</v>
      </c>
      <c r="I10" s="11">
        <v>1</v>
      </c>
      <c r="J10" s="6">
        <f t="shared" si="1"/>
        <v>3</v>
      </c>
      <c r="K10" s="11" t="s">
        <v>165</v>
      </c>
    </row>
    <row r="11" spans="1:11" ht="20.100000000000001" customHeight="1">
      <c r="A11" s="16"/>
      <c r="B11" s="19"/>
      <c r="C11" s="9" t="s">
        <v>156</v>
      </c>
      <c r="D11" s="9" t="s">
        <v>157</v>
      </c>
      <c r="E11" s="11" t="s">
        <v>17</v>
      </c>
      <c r="F11" s="6"/>
      <c r="G11" s="6"/>
      <c r="H11" s="11" t="s">
        <v>11</v>
      </c>
      <c r="I11" s="11">
        <v>1</v>
      </c>
      <c r="J11" s="6">
        <f t="shared" si="1"/>
        <v>3</v>
      </c>
      <c r="K11" s="13"/>
    </row>
    <row r="12" spans="1:11" ht="20.100000000000001" customHeight="1">
      <c r="A12" s="16"/>
      <c r="B12" s="19"/>
      <c r="C12" s="9" t="s">
        <v>158</v>
      </c>
      <c r="D12" s="9" t="s">
        <v>159</v>
      </c>
      <c r="E12" s="11" t="s">
        <v>17</v>
      </c>
      <c r="F12" s="20"/>
      <c r="G12" s="20"/>
      <c r="H12" s="11" t="s">
        <v>11</v>
      </c>
      <c r="I12" s="11">
        <v>2</v>
      </c>
      <c r="J12" s="6">
        <f t="shared" si="1"/>
        <v>6</v>
      </c>
      <c r="K12" s="13"/>
    </row>
    <row r="13" spans="1:11" ht="20.100000000000001" customHeight="1">
      <c r="A13" s="16"/>
      <c r="B13" s="19"/>
      <c r="C13" s="9" t="s">
        <v>160</v>
      </c>
      <c r="D13" s="9" t="s">
        <v>161</v>
      </c>
      <c r="E13" s="11" t="s">
        <v>17</v>
      </c>
      <c r="F13" s="6"/>
      <c r="G13" s="6"/>
      <c r="H13" s="11" t="s">
        <v>11</v>
      </c>
      <c r="I13" s="11">
        <v>1</v>
      </c>
      <c r="J13" s="6">
        <f t="shared" si="1"/>
        <v>3</v>
      </c>
      <c r="K13" s="13"/>
    </row>
    <row r="14" spans="1:11" ht="20.100000000000001" customHeight="1">
      <c r="A14" s="16">
        <v>49</v>
      </c>
      <c r="B14" s="19"/>
      <c r="C14" s="34" t="s">
        <v>166</v>
      </c>
      <c r="D14" s="35" t="s">
        <v>167</v>
      </c>
      <c r="E14" s="36" t="s">
        <v>149</v>
      </c>
      <c r="F14" s="6"/>
      <c r="G14" s="6"/>
      <c r="H14" s="10" t="s">
        <v>149</v>
      </c>
      <c r="I14" s="11">
        <v>1</v>
      </c>
      <c r="J14" s="6">
        <f>I14*3</f>
        <v>3</v>
      </c>
      <c r="K14" s="13"/>
    </row>
    <row r="15" spans="1:11" ht="20.100000000000001" customHeight="1">
      <c r="A15" s="37">
        <v>49.1</v>
      </c>
      <c r="B15" s="19"/>
      <c r="C15" s="34" t="s">
        <v>182</v>
      </c>
      <c r="D15" s="35" t="s">
        <v>168</v>
      </c>
      <c r="E15" s="36" t="s">
        <v>17</v>
      </c>
      <c r="F15" s="20"/>
      <c r="G15" s="20"/>
      <c r="H15" s="10" t="s">
        <v>11</v>
      </c>
      <c r="I15" s="11">
        <v>1</v>
      </c>
      <c r="J15" s="6">
        <f t="shared" ref="J15:J21" si="2">I15*3</f>
        <v>3</v>
      </c>
      <c r="K15" s="13"/>
    </row>
    <row r="16" spans="1:11" ht="20.100000000000001" customHeight="1">
      <c r="A16" s="37">
        <v>49.2</v>
      </c>
      <c r="B16" s="19"/>
      <c r="C16" s="34" t="s">
        <v>169</v>
      </c>
      <c r="D16" s="35" t="s">
        <v>170</v>
      </c>
      <c r="E16" s="36" t="s">
        <v>17</v>
      </c>
      <c r="F16" s="6"/>
      <c r="G16" s="6"/>
      <c r="H16" s="10" t="s">
        <v>11</v>
      </c>
      <c r="I16" s="11">
        <v>2</v>
      </c>
      <c r="J16" s="6">
        <f t="shared" si="2"/>
        <v>6</v>
      </c>
      <c r="K16" s="33" t="s">
        <v>181</v>
      </c>
    </row>
    <row r="17" spans="1:11" ht="20.100000000000001" customHeight="1">
      <c r="A17" s="37">
        <v>49.3</v>
      </c>
      <c r="B17" s="19"/>
      <c r="C17" s="34" t="s">
        <v>171</v>
      </c>
      <c r="D17" s="35" t="s">
        <v>172</v>
      </c>
      <c r="E17" s="36" t="s">
        <v>17</v>
      </c>
      <c r="F17" s="6"/>
      <c r="G17" s="6"/>
      <c r="H17" s="10" t="s">
        <v>11</v>
      </c>
      <c r="I17" s="11">
        <v>1</v>
      </c>
      <c r="J17" s="6">
        <f t="shared" si="2"/>
        <v>3</v>
      </c>
      <c r="K17" s="13"/>
    </row>
    <row r="18" spans="1:11" ht="20.100000000000001" customHeight="1">
      <c r="A18" s="37">
        <v>49.4</v>
      </c>
      <c r="B18" s="19"/>
      <c r="C18" s="34" t="s">
        <v>173</v>
      </c>
      <c r="D18" s="35" t="s">
        <v>151</v>
      </c>
      <c r="E18" s="36" t="s">
        <v>149</v>
      </c>
      <c r="F18" s="6"/>
      <c r="G18" s="6"/>
      <c r="H18" s="10" t="s">
        <v>149</v>
      </c>
      <c r="I18" s="11">
        <v>1</v>
      </c>
      <c r="J18" s="6">
        <f t="shared" si="2"/>
        <v>3</v>
      </c>
      <c r="K18" s="13"/>
    </row>
    <row r="19" spans="1:11" ht="20.100000000000001" customHeight="1">
      <c r="A19" s="37" t="s">
        <v>178</v>
      </c>
      <c r="B19" s="19"/>
      <c r="C19" s="34" t="s">
        <v>174</v>
      </c>
      <c r="D19" s="35" t="s">
        <v>13</v>
      </c>
      <c r="E19" s="36" t="s">
        <v>175</v>
      </c>
      <c r="F19" s="20"/>
      <c r="G19" s="20"/>
      <c r="H19" s="10" t="s">
        <v>11</v>
      </c>
      <c r="I19" s="11">
        <v>1</v>
      </c>
      <c r="J19" s="6">
        <f t="shared" si="2"/>
        <v>3</v>
      </c>
      <c r="K19" s="5"/>
    </row>
    <row r="20" spans="1:11" ht="20.100000000000001" customHeight="1">
      <c r="A20" s="37" t="s">
        <v>179</v>
      </c>
      <c r="B20" s="19"/>
      <c r="C20" s="34" t="s">
        <v>176</v>
      </c>
      <c r="D20" s="35" t="s">
        <v>13</v>
      </c>
      <c r="E20" s="36" t="s">
        <v>175</v>
      </c>
      <c r="F20" s="6"/>
      <c r="G20" s="6"/>
      <c r="H20" s="10" t="s">
        <v>11</v>
      </c>
      <c r="I20" s="11">
        <v>2</v>
      </c>
      <c r="J20" s="6">
        <f t="shared" si="2"/>
        <v>6</v>
      </c>
      <c r="K20" s="19"/>
    </row>
    <row r="21" spans="1:11" ht="20.100000000000001" customHeight="1">
      <c r="A21" s="37" t="s">
        <v>180</v>
      </c>
      <c r="B21" s="19"/>
      <c r="C21" s="34" t="s">
        <v>177</v>
      </c>
      <c r="D21" s="35" t="s">
        <v>13</v>
      </c>
      <c r="E21" s="36" t="s">
        <v>175</v>
      </c>
      <c r="F21" s="6"/>
      <c r="G21" s="6"/>
      <c r="H21" s="10" t="s">
        <v>11</v>
      </c>
      <c r="I21" s="11">
        <v>1</v>
      </c>
      <c r="J21" s="6">
        <f t="shared" si="2"/>
        <v>3</v>
      </c>
      <c r="K21" s="19"/>
    </row>
    <row r="22" spans="1:11" ht="20.100000000000001" customHeight="1">
      <c r="A22" s="5">
        <v>50</v>
      </c>
      <c r="B22" s="19"/>
      <c r="C22" s="34" t="s">
        <v>186</v>
      </c>
      <c r="D22" s="35" t="s">
        <v>183</v>
      </c>
      <c r="E22" s="36" t="s">
        <v>184</v>
      </c>
      <c r="F22" s="5"/>
      <c r="G22" s="5"/>
      <c r="H22" s="10" t="s">
        <v>11</v>
      </c>
      <c r="I22" s="11">
        <v>1</v>
      </c>
      <c r="J22" s="19" t="s">
        <v>185</v>
      </c>
      <c r="K22" s="19"/>
    </row>
    <row r="23" spans="1:11" ht="20.100000000000001" customHeight="1">
      <c r="A23" s="5">
        <v>51</v>
      </c>
      <c r="B23" s="39"/>
      <c r="C23" s="42" t="s">
        <v>187</v>
      </c>
      <c r="D23" s="40" t="s">
        <v>188</v>
      </c>
      <c r="E23" s="16" t="s">
        <v>184</v>
      </c>
      <c r="F23" s="24"/>
      <c r="G23" s="24"/>
      <c r="H23" s="16" t="s">
        <v>11</v>
      </c>
      <c r="I23" s="16">
        <v>1</v>
      </c>
      <c r="J23" s="38" t="s">
        <v>189</v>
      </c>
      <c r="K23" s="19"/>
    </row>
    <row r="24" spans="1:11" ht="20.100000000000001" customHeight="1">
      <c r="A24" s="5">
        <v>52</v>
      </c>
      <c r="B24" s="38"/>
      <c r="C24" s="42" t="s">
        <v>190</v>
      </c>
      <c r="D24" s="41" t="s">
        <v>191</v>
      </c>
      <c r="E24" s="41" t="s">
        <v>17</v>
      </c>
      <c r="F24" s="24"/>
      <c r="G24" s="24"/>
      <c r="H24" s="41" t="s">
        <v>192</v>
      </c>
      <c r="I24" s="41">
        <v>1</v>
      </c>
      <c r="J24" s="38" t="s">
        <v>193</v>
      </c>
      <c r="K24" s="19"/>
    </row>
    <row r="25" spans="1:11" ht="20.100000000000001" customHeight="1">
      <c r="A25" s="5">
        <v>53</v>
      </c>
      <c r="B25" s="19"/>
      <c r="C25" s="9">
        <v>101002006378</v>
      </c>
      <c r="D25" s="43" t="s">
        <v>194</v>
      </c>
      <c r="E25" s="36" t="s">
        <v>149</v>
      </c>
      <c r="F25" s="5"/>
      <c r="G25" s="5"/>
      <c r="H25" s="10" t="s">
        <v>149</v>
      </c>
      <c r="I25" s="11">
        <v>1</v>
      </c>
      <c r="J25" s="44">
        <f>I25*2</f>
        <v>2</v>
      </c>
      <c r="K25" s="5"/>
    </row>
    <row r="26" spans="1:11" ht="20.100000000000001" customHeight="1">
      <c r="A26" s="16"/>
      <c r="B26" s="19"/>
      <c r="C26" s="9">
        <v>101002002364</v>
      </c>
      <c r="D26" s="43" t="s">
        <v>195</v>
      </c>
      <c r="E26" s="36" t="s">
        <v>155</v>
      </c>
      <c r="F26" s="6"/>
      <c r="G26" s="6"/>
      <c r="H26" s="10" t="s">
        <v>11</v>
      </c>
      <c r="I26" s="11">
        <v>2</v>
      </c>
      <c r="J26" s="44">
        <f t="shared" ref="J26:J28" si="3">I26*2</f>
        <v>4</v>
      </c>
      <c r="K26" s="33" t="s">
        <v>197</v>
      </c>
    </row>
    <row r="27" spans="1:11" ht="20.100000000000001" customHeight="1">
      <c r="A27" s="16"/>
      <c r="B27" s="19"/>
      <c r="C27" s="9">
        <v>101002006379</v>
      </c>
      <c r="D27" s="43" t="s">
        <v>196</v>
      </c>
      <c r="E27" s="36" t="s">
        <v>16</v>
      </c>
      <c r="F27" s="20"/>
      <c r="G27" s="20"/>
      <c r="H27" s="10" t="s">
        <v>11</v>
      </c>
      <c r="I27" s="11">
        <v>1</v>
      </c>
      <c r="J27" s="44">
        <f t="shared" si="3"/>
        <v>2</v>
      </c>
      <c r="K27" s="13"/>
    </row>
    <row r="28" spans="1:11" ht="20.100000000000001" customHeight="1">
      <c r="A28" s="16"/>
      <c r="B28" s="19"/>
      <c r="C28" s="9">
        <v>101002006380</v>
      </c>
      <c r="D28" s="43" t="s">
        <v>13</v>
      </c>
      <c r="E28" s="36" t="s">
        <v>17</v>
      </c>
      <c r="F28" s="6"/>
      <c r="G28" s="6"/>
      <c r="H28" s="10" t="s">
        <v>11</v>
      </c>
      <c r="I28" s="11">
        <v>1</v>
      </c>
      <c r="J28" s="44">
        <f t="shared" si="3"/>
        <v>2</v>
      </c>
      <c r="K28" s="13"/>
    </row>
    <row r="29" spans="1:11" ht="20.100000000000001" customHeight="1">
      <c r="A29" s="16">
        <v>54</v>
      </c>
      <c r="B29" s="19"/>
      <c r="C29" s="9">
        <v>101002006362</v>
      </c>
      <c r="D29" s="45" t="s">
        <v>198</v>
      </c>
      <c r="E29" s="36" t="s">
        <v>149</v>
      </c>
      <c r="F29" s="6"/>
      <c r="G29" s="6"/>
      <c r="H29" s="10" t="s">
        <v>149</v>
      </c>
      <c r="I29" s="11">
        <v>1</v>
      </c>
      <c r="J29" s="11">
        <f>I29*2</f>
        <v>2</v>
      </c>
      <c r="K29" s="33"/>
    </row>
    <row r="30" spans="1:11" ht="20.100000000000001" customHeight="1">
      <c r="A30" s="37">
        <v>54.1</v>
      </c>
      <c r="B30" s="19"/>
      <c r="C30" s="9" t="s">
        <v>199</v>
      </c>
      <c r="D30" s="45" t="s">
        <v>200</v>
      </c>
      <c r="E30" s="36" t="s">
        <v>149</v>
      </c>
      <c r="F30" s="6"/>
      <c r="G30" s="6"/>
      <c r="H30" s="10" t="s">
        <v>149</v>
      </c>
      <c r="I30" s="11">
        <v>1</v>
      </c>
      <c r="J30" s="11">
        <f t="shared" ref="J30:J55" si="4">I30*2</f>
        <v>2</v>
      </c>
      <c r="K30" s="33"/>
    </row>
    <row r="31" spans="1:11" ht="20.100000000000001" customHeight="1">
      <c r="A31" s="37" t="s">
        <v>218</v>
      </c>
      <c r="B31" s="19"/>
      <c r="C31" s="9" t="s">
        <v>216</v>
      </c>
      <c r="D31" s="45" t="s">
        <v>196</v>
      </c>
      <c r="E31" s="36" t="s">
        <v>184</v>
      </c>
      <c r="F31" s="6"/>
      <c r="G31" s="6"/>
      <c r="H31" s="10" t="s">
        <v>11</v>
      </c>
      <c r="I31" s="11">
        <v>2</v>
      </c>
      <c r="J31" s="11">
        <f t="shared" si="4"/>
        <v>4</v>
      </c>
      <c r="K31" s="33"/>
    </row>
    <row r="32" spans="1:11" ht="20.100000000000001" customHeight="1">
      <c r="A32" s="37" t="s">
        <v>219</v>
      </c>
      <c r="B32" s="19"/>
      <c r="C32" s="9" t="s">
        <v>201</v>
      </c>
      <c r="D32" s="45" t="s">
        <v>196</v>
      </c>
      <c r="E32" s="36" t="s">
        <v>184</v>
      </c>
      <c r="F32" s="6"/>
      <c r="G32" s="6"/>
      <c r="H32" s="10" t="s">
        <v>11</v>
      </c>
      <c r="I32" s="11">
        <v>2</v>
      </c>
      <c r="J32" s="11">
        <f t="shared" si="4"/>
        <v>4</v>
      </c>
      <c r="K32" s="33" t="s">
        <v>214</v>
      </c>
    </row>
    <row r="33" spans="1:11" ht="20.100000000000001" customHeight="1">
      <c r="A33" s="37" t="s">
        <v>220</v>
      </c>
      <c r="B33" s="19"/>
      <c r="C33" s="9" t="s">
        <v>217</v>
      </c>
      <c r="D33" s="45" t="s">
        <v>202</v>
      </c>
      <c r="E33" s="36" t="s">
        <v>203</v>
      </c>
      <c r="F33" s="6"/>
      <c r="G33" s="6"/>
      <c r="H33" s="10" t="s">
        <v>11</v>
      </c>
      <c r="I33" s="11">
        <v>2</v>
      </c>
      <c r="J33" s="11">
        <f t="shared" si="4"/>
        <v>4</v>
      </c>
      <c r="K33" s="33"/>
    </row>
    <row r="34" spans="1:11" ht="20.100000000000001" customHeight="1">
      <c r="A34" s="37" t="s">
        <v>221</v>
      </c>
      <c r="B34" s="19"/>
      <c r="C34" s="9" t="s">
        <v>204</v>
      </c>
      <c r="D34" s="45" t="s">
        <v>202</v>
      </c>
      <c r="E34" s="36" t="s">
        <v>203</v>
      </c>
      <c r="F34" s="6"/>
      <c r="G34" s="6"/>
      <c r="H34" s="10" t="s">
        <v>11</v>
      </c>
      <c r="I34" s="11">
        <v>2</v>
      </c>
      <c r="J34" s="11">
        <f t="shared" si="4"/>
        <v>4</v>
      </c>
      <c r="K34" s="33"/>
    </row>
    <row r="35" spans="1:11" ht="20.100000000000001" customHeight="1">
      <c r="A35" s="37">
        <v>54.2</v>
      </c>
      <c r="B35" s="19"/>
      <c r="C35" s="9">
        <v>101002002350</v>
      </c>
      <c r="D35" s="45" t="s">
        <v>205</v>
      </c>
      <c r="E35" s="36" t="s">
        <v>206</v>
      </c>
      <c r="F35" s="6"/>
      <c r="G35" s="6"/>
      <c r="H35" s="10" t="s">
        <v>11</v>
      </c>
      <c r="I35" s="11">
        <v>1</v>
      </c>
      <c r="J35" s="11">
        <f t="shared" si="4"/>
        <v>2</v>
      </c>
      <c r="K35" s="33"/>
    </row>
    <row r="36" spans="1:11" ht="20.100000000000001" customHeight="1">
      <c r="A36" s="37">
        <v>54.3</v>
      </c>
      <c r="B36" s="19"/>
      <c r="C36" s="9" t="s">
        <v>207</v>
      </c>
      <c r="D36" s="45" t="s">
        <v>208</v>
      </c>
      <c r="E36" s="36" t="s">
        <v>149</v>
      </c>
      <c r="F36" s="6"/>
      <c r="G36" s="6"/>
      <c r="H36" s="10" t="s">
        <v>149</v>
      </c>
      <c r="I36" s="11">
        <v>1</v>
      </c>
      <c r="J36" s="11">
        <f t="shared" si="4"/>
        <v>2</v>
      </c>
      <c r="K36" s="33"/>
    </row>
    <row r="37" spans="1:11" ht="20.100000000000001" customHeight="1">
      <c r="A37" s="37" t="s">
        <v>222</v>
      </c>
      <c r="B37" s="19"/>
      <c r="C37" s="9">
        <v>101002006366</v>
      </c>
      <c r="D37" s="45" t="s">
        <v>209</v>
      </c>
      <c r="E37" s="36" t="s">
        <v>14</v>
      </c>
      <c r="F37" s="6"/>
      <c r="G37" s="6"/>
      <c r="H37" s="10" t="s">
        <v>11</v>
      </c>
      <c r="I37" s="11">
        <v>1</v>
      </c>
      <c r="J37" s="11">
        <f t="shared" si="4"/>
        <v>2</v>
      </c>
      <c r="K37" s="33"/>
    </row>
    <row r="38" spans="1:11" ht="20.100000000000001" customHeight="1">
      <c r="A38" s="37" t="s">
        <v>223</v>
      </c>
      <c r="B38" s="19"/>
      <c r="C38" s="9">
        <v>101002006374</v>
      </c>
      <c r="D38" s="45" t="s">
        <v>28</v>
      </c>
      <c r="E38" s="36" t="s">
        <v>17</v>
      </c>
      <c r="F38" s="6"/>
      <c r="G38" s="6"/>
      <c r="H38" s="10" t="s">
        <v>11</v>
      </c>
      <c r="I38" s="11">
        <v>1</v>
      </c>
      <c r="J38" s="11">
        <f t="shared" si="4"/>
        <v>2</v>
      </c>
      <c r="K38" s="33"/>
    </row>
    <row r="39" spans="1:11" ht="20.100000000000001" customHeight="1">
      <c r="A39" s="37" t="s">
        <v>224</v>
      </c>
      <c r="B39" s="19"/>
      <c r="C39" s="9">
        <v>101002006375</v>
      </c>
      <c r="D39" s="45" t="s">
        <v>28</v>
      </c>
      <c r="E39" s="36" t="s">
        <v>17</v>
      </c>
      <c r="F39" s="6"/>
      <c r="G39" s="6"/>
      <c r="H39" s="10" t="s">
        <v>11</v>
      </c>
      <c r="I39" s="11">
        <v>1</v>
      </c>
      <c r="J39" s="11">
        <f t="shared" si="4"/>
        <v>2</v>
      </c>
      <c r="K39" s="33"/>
    </row>
    <row r="40" spans="1:11" ht="20.100000000000001" customHeight="1">
      <c r="A40" s="37" t="s">
        <v>225</v>
      </c>
      <c r="B40" s="19"/>
      <c r="C40" s="9">
        <v>101002006376</v>
      </c>
      <c r="D40" s="45" t="s">
        <v>28</v>
      </c>
      <c r="E40" s="36" t="s">
        <v>17</v>
      </c>
      <c r="F40" s="6"/>
      <c r="G40" s="6"/>
      <c r="H40" s="10" t="s">
        <v>11</v>
      </c>
      <c r="I40" s="11">
        <v>1</v>
      </c>
      <c r="J40" s="11">
        <f t="shared" si="4"/>
        <v>2</v>
      </c>
      <c r="K40" s="33"/>
    </row>
    <row r="41" spans="1:11" ht="20.100000000000001" customHeight="1">
      <c r="A41" s="37" t="s">
        <v>226</v>
      </c>
      <c r="B41" s="19"/>
      <c r="C41" s="9">
        <v>101002006377</v>
      </c>
      <c r="D41" s="45" t="s">
        <v>28</v>
      </c>
      <c r="E41" s="36" t="s">
        <v>17</v>
      </c>
      <c r="F41" s="6"/>
      <c r="G41" s="6"/>
      <c r="H41" s="10" t="s">
        <v>11</v>
      </c>
      <c r="I41" s="11">
        <v>1</v>
      </c>
      <c r="J41" s="11">
        <f t="shared" si="4"/>
        <v>2</v>
      </c>
      <c r="K41" s="33"/>
    </row>
    <row r="42" spans="1:11" ht="20.100000000000001" customHeight="1">
      <c r="A42" s="37">
        <v>54.4</v>
      </c>
      <c r="B42" s="19"/>
      <c r="C42" s="9" t="s">
        <v>210</v>
      </c>
      <c r="D42" s="45" t="s">
        <v>211</v>
      </c>
      <c r="E42" s="36" t="s">
        <v>149</v>
      </c>
      <c r="F42" s="6"/>
      <c r="G42" s="6"/>
      <c r="H42" s="10" t="s">
        <v>149</v>
      </c>
      <c r="I42" s="11">
        <v>2</v>
      </c>
      <c r="J42" s="11">
        <f t="shared" si="4"/>
        <v>4</v>
      </c>
      <c r="K42" s="33"/>
    </row>
    <row r="43" spans="1:11" ht="20.100000000000001" customHeight="1">
      <c r="A43" s="11" t="s">
        <v>227</v>
      </c>
      <c r="B43" s="19"/>
      <c r="C43" s="9">
        <v>101002002349</v>
      </c>
      <c r="D43" s="45" t="s">
        <v>212</v>
      </c>
      <c r="E43" s="36" t="s">
        <v>35</v>
      </c>
      <c r="F43" s="6"/>
      <c r="G43" s="6"/>
      <c r="H43" s="10" t="s">
        <v>11</v>
      </c>
      <c r="I43" s="11">
        <v>2</v>
      </c>
      <c r="J43" s="46">
        <v>8</v>
      </c>
      <c r="K43" s="33"/>
    </row>
    <row r="44" spans="1:11" ht="20.100000000000001" customHeight="1">
      <c r="A44" s="37" t="s">
        <v>228</v>
      </c>
      <c r="B44" s="19"/>
      <c r="C44" s="9">
        <v>101002006388</v>
      </c>
      <c r="D44" s="45" t="s">
        <v>15</v>
      </c>
      <c r="E44" s="36" t="s">
        <v>184</v>
      </c>
      <c r="F44" s="6"/>
      <c r="G44" s="6"/>
      <c r="H44" s="10" t="s">
        <v>11</v>
      </c>
      <c r="I44" s="11">
        <v>1</v>
      </c>
      <c r="J44" s="46">
        <v>4</v>
      </c>
      <c r="K44" s="33"/>
    </row>
    <row r="45" spans="1:11" ht="20.100000000000001" customHeight="1">
      <c r="A45" s="37">
        <v>54.5</v>
      </c>
      <c r="B45" s="19"/>
      <c r="C45" s="9">
        <v>101002006363</v>
      </c>
      <c r="D45" s="45" t="s">
        <v>13</v>
      </c>
      <c r="E45" s="36" t="s">
        <v>17</v>
      </c>
      <c r="F45" s="6"/>
      <c r="G45" s="6"/>
      <c r="H45" s="10" t="s">
        <v>11</v>
      </c>
      <c r="I45" s="11">
        <v>1</v>
      </c>
      <c r="J45" s="11">
        <f t="shared" si="4"/>
        <v>2</v>
      </c>
      <c r="K45" s="33"/>
    </row>
    <row r="46" spans="1:11" ht="20.100000000000001" customHeight="1">
      <c r="A46" s="37">
        <v>54.6</v>
      </c>
      <c r="B46" s="19"/>
      <c r="C46" s="9">
        <v>101002006364</v>
      </c>
      <c r="D46" s="45" t="s">
        <v>159</v>
      </c>
      <c r="E46" s="36" t="s">
        <v>14</v>
      </c>
      <c r="F46" s="6"/>
      <c r="G46" s="6"/>
      <c r="H46" s="10" t="s">
        <v>11</v>
      </c>
      <c r="I46" s="11">
        <v>1</v>
      </c>
      <c r="J46" s="11">
        <f t="shared" si="4"/>
        <v>2</v>
      </c>
      <c r="K46" s="33"/>
    </row>
    <row r="47" spans="1:11" ht="20.100000000000001" customHeight="1">
      <c r="A47" s="37">
        <v>54.7</v>
      </c>
      <c r="B47" s="19"/>
      <c r="C47" s="9">
        <v>101002006365</v>
      </c>
      <c r="D47" s="45" t="s">
        <v>159</v>
      </c>
      <c r="E47" s="36" t="s">
        <v>14</v>
      </c>
      <c r="F47" s="6"/>
      <c r="G47" s="6"/>
      <c r="H47" s="10" t="s">
        <v>11</v>
      </c>
      <c r="I47" s="11">
        <v>1</v>
      </c>
      <c r="J47" s="11">
        <f t="shared" si="4"/>
        <v>2</v>
      </c>
      <c r="K47" s="33" t="s">
        <v>215</v>
      </c>
    </row>
    <row r="48" spans="1:11" ht="20.100000000000001" customHeight="1">
      <c r="A48" s="37">
        <v>54.8</v>
      </c>
      <c r="B48" s="19"/>
      <c r="C48" s="9">
        <v>101002006368</v>
      </c>
      <c r="D48" s="45" t="s">
        <v>213</v>
      </c>
      <c r="E48" s="36" t="s">
        <v>149</v>
      </c>
      <c r="F48" s="6"/>
      <c r="G48" s="6"/>
      <c r="H48" s="10" t="s">
        <v>149</v>
      </c>
      <c r="I48" s="11">
        <v>1</v>
      </c>
      <c r="J48" s="11">
        <f t="shared" si="4"/>
        <v>2</v>
      </c>
      <c r="K48" s="33"/>
    </row>
    <row r="49" spans="1:11" ht="20.100000000000001" customHeight="1">
      <c r="A49" s="37" t="s">
        <v>229</v>
      </c>
      <c r="B49" s="19"/>
      <c r="C49" s="9">
        <v>101002006369</v>
      </c>
      <c r="D49" s="45" t="s">
        <v>15</v>
      </c>
      <c r="E49" s="36" t="s">
        <v>14</v>
      </c>
      <c r="F49" s="6"/>
      <c r="G49" s="6"/>
      <c r="H49" s="10" t="s">
        <v>11</v>
      </c>
      <c r="I49" s="11">
        <v>1</v>
      </c>
      <c r="J49" s="11">
        <f t="shared" si="4"/>
        <v>2</v>
      </c>
      <c r="K49" s="33"/>
    </row>
    <row r="50" spans="1:11" ht="20.100000000000001" customHeight="1">
      <c r="A50" s="37" t="s">
        <v>230</v>
      </c>
      <c r="B50" s="19"/>
      <c r="C50" s="9">
        <v>101002006370</v>
      </c>
      <c r="D50" s="45" t="s">
        <v>196</v>
      </c>
      <c r="E50" s="36" t="s">
        <v>175</v>
      </c>
      <c r="F50" s="6"/>
      <c r="G50" s="6"/>
      <c r="H50" s="10" t="s">
        <v>11</v>
      </c>
      <c r="I50" s="11">
        <v>1</v>
      </c>
      <c r="J50" s="11">
        <f t="shared" si="4"/>
        <v>2</v>
      </c>
      <c r="K50" s="33"/>
    </row>
    <row r="51" spans="1:11" ht="20.100000000000001" customHeight="1">
      <c r="A51" s="37" t="s">
        <v>231</v>
      </c>
      <c r="B51" s="19"/>
      <c r="C51" s="9">
        <v>101002006371</v>
      </c>
      <c r="D51" s="45" t="s">
        <v>196</v>
      </c>
      <c r="E51" s="36" t="s">
        <v>175</v>
      </c>
      <c r="F51" s="6"/>
      <c r="G51" s="6"/>
      <c r="H51" s="10" t="s">
        <v>11</v>
      </c>
      <c r="I51" s="11">
        <v>1</v>
      </c>
      <c r="J51" s="11">
        <f t="shared" si="4"/>
        <v>2</v>
      </c>
      <c r="K51" s="33"/>
    </row>
    <row r="52" spans="1:11" ht="20.100000000000001" customHeight="1">
      <c r="A52" s="37" t="s">
        <v>232</v>
      </c>
      <c r="B52" s="19"/>
      <c r="C52" s="9">
        <v>101002006372</v>
      </c>
      <c r="D52" s="45" t="s">
        <v>196</v>
      </c>
      <c r="E52" s="36" t="s">
        <v>175</v>
      </c>
      <c r="F52" s="6"/>
      <c r="G52" s="6"/>
      <c r="H52" s="10" t="s">
        <v>11</v>
      </c>
      <c r="I52" s="11">
        <v>1</v>
      </c>
      <c r="J52" s="11">
        <f t="shared" si="4"/>
        <v>2</v>
      </c>
      <c r="K52" s="33"/>
    </row>
    <row r="53" spans="1:11" ht="20.100000000000001" customHeight="1">
      <c r="A53" s="37" t="s">
        <v>233</v>
      </c>
      <c r="B53" s="19"/>
      <c r="C53" s="9">
        <v>101002006373</v>
      </c>
      <c r="D53" s="45" t="s">
        <v>196</v>
      </c>
      <c r="E53" s="36" t="s">
        <v>175</v>
      </c>
      <c r="F53" s="6"/>
      <c r="G53" s="6"/>
      <c r="H53" s="10" t="s">
        <v>11</v>
      </c>
      <c r="I53" s="11">
        <v>1</v>
      </c>
      <c r="J53" s="11">
        <f t="shared" si="4"/>
        <v>2</v>
      </c>
      <c r="K53" s="33" t="s">
        <v>215</v>
      </c>
    </row>
    <row r="54" spans="1:11" ht="20.100000000000001" customHeight="1">
      <c r="A54" s="37" t="s">
        <v>234</v>
      </c>
      <c r="B54" s="19"/>
      <c r="C54" s="9">
        <v>101002006374</v>
      </c>
      <c r="D54" s="45" t="s">
        <v>28</v>
      </c>
      <c r="E54" s="36" t="s">
        <v>17</v>
      </c>
      <c r="F54" s="6"/>
      <c r="G54" s="6"/>
      <c r="H54" s="10" t="s">
        <v>146</v>
      </c>
      <c r="I54" s="11">
        <v>1</v>
      </c>
      <c r="J54" s="11">
        <f t="shared" si="4"/>
        <v>2</v>
      </c>
      <c r="K54" s="33"/>
    </row>
    <row r="55" spans="1:11" ht="20.100000000000001" customHeight="1">
      <c r="A55" s="37" t="s">
        <v>235</v>
      </c>
      <c r="B55" s="19"/>
      <c r="C55" s="9">
        <v>101002006379</v>
      </c>
      <c r="D55" s="45" t="s">
        <v>196</v>
      </c>
      <c r="E55" s="36" t="s">
        <v>16</v>
      </c>
      <c r="F55" s="6"/>
      <c r="G55" s="6"/>
      <c r="H55" s="10" t="s">
        <v>11</v>
      </c>
      <c r="I55" s="11">
        <v>1</v>
      </c>
      <c r="J55" s="11">
        <f t="shared" si="4"/>
        <v>2</v>
      </c>
      <c r="K55" s="33"/>
    </row>
    <row r="56" spans="1:11" ht="20.100000000000001" customHeight="1">
      <c r="A56" s="16">
        <v>55</v>
      </c>
      <c r="B56" s="19"/>
      <c r="C56" s="9">
        <v>101002006386</v>
      </c>
      <c r="D56" s="43" t="s">
        <v>236</v>
      </c>
      <c r="E56" s="36" t="s">
        <v>149</v>
      </c>
      <c r="F56" s="6"/>
      <c r="G56" s="6"/>
      <c r="H56" s="47" t="s">
        <v>149</v>
      </c>
      <c r="I56" s="11">
        <v>1</v>
      </c>
      <c r="J56" s="44">
        <f>I56*2</f>
        <v>2</v>
      </c>
      <c r="K56" s="13"/>
    </row>
    <row r="57" spans="1:11" ht="20.100000000000001" customHeight="1">
      <c r="A57" s="16"/>
      <c r="B57" s="19"/>
      <c r="C57" s="9">
        <v>101002002364</v>
      </c>
      <c r="D57" s="43" t="s">
        <v>195</v>
      </c>
      <c r="E57" s="36" t="s">
        <v>155</v>
      </c>
      <c r="F57" s="6"/>
      <c r="G57" s="6"/>
      <c r="H57" s="47" t="s">
        <v>11</v>
      </c>
      <c r="I57" s="11">
        <v>2</v>
      </c>
      <c r="J57" s="44">
        <f t="shared" ref="J57:J61" si="5">I57*2</f>
        <v>4</v>
      </c>
      <c r="K57" s="33" t="s">
        <v>197</v>
      </c>
    </row>
    <row r="58" spans="1:11" ht="20.100000000000001" customHeight="1">
      <c r="A58" s="16"/>
      <c r="B58" s="19"/>
      <c r="C58" s="9">
        <v>101002006375</v>
      </c>
      <c r="D58" s="43" t="s">
        <v>28</v>
      </c>
      <c r="E58" s="36" t="s">
        <v>17</v>
      </c>
      <c r="F58" s="20"/>
      <c r="G58" s="20"/>
      <c r="H58" s="47" t="s">
        <v>11</v>
      </c>
      <c r="I58" s="11">
        <v>1</v>
      </c>
      <c r="J58" s="44">
        <f t="shared" si="5"/>
        <v>2</v>
      </c>
      <c r="K58" s="13"/>
    </row>
    <row r="59" spans="1:11" ht="20.100000000000001" customHeight="1">
      <c r="A59" s="21"/>
      <c r="B59" s="19"/>
      <c r="C59" s="9">
        <v>101002006376</v>
      </c>
      <c r="D59" s="43" t="s">
        <v>28</v>
      </c>
      <c r="E59" s="36" t="s">
        <v>17</v>
      </c>
      <c r="F59" s="6"/>
      <c r="G59" s="6"/>
      <c r="H59" s="47" t="s">
        <v>11</v>
      </c>
      <c r="I59" s="11">
        <v>1</v>
      </c>
      <c r="J59" s="44">
        <f t="shared" si="5"/>
        <v>2</v>
      </c>
      <c r="K59" s="13"/>
    </row>
    <row r="60" spans="1:11" ht="20.100000000000001" customHeight="1">
      <c r="A60" s="21"/>
      <c r="B60" s="19"/>
      <c r="C60" s="9">
        <v>101002006377</v>
      </c>
      <c r="D60" s="43" t="s">
        <v>28</v>
      </c>
      <c r="E60" s="36" t="s">
        <v>17</v>
      </c>
      <c r="F60" s="6"/>
      <c r="G60" s="6"/>
      <c r="H60" s="47" t="s">
        <v>11</v>
      </c>
      <c r="I60" s="11">
        <v>1</v>
      </c>
      <c r="J60" s="44">
        <f t="shared" si="5"/>
        <v>2</v>
      </c>
      <c r="K60" s="13"/>
    </row>
    <row r="61" spans="1:11" ht="20.100000000000001" customHeight="1">
      <c r="A61" s="21"/>
      <c r="B61" s="19"/>
      <c r="C61" s="9">
        <v>101002006387</v>
      </c>
      <c r="D61" s="43" t="s">
        <v>13</v>
      </c>
      <c r="E61" s="36" t="s">
        <v>14</v>
      </c>
      <c r="F61" s="6"/>
      <c r="G61" s="6"/>
      <c r="H61" s="47" t="s">
        <v>11</v>
      </c>
      <c r="I61" s="11">
        <v>1</v>
      </c>
      <c r="J61" s="44">
        <f t="shared" si="5"/>
        <v>2</v>
      </c>
      <c r="K61" s="13"/>
    </row>
    <row r="62" spans="1:11" ht="20.100000000000001" customHeight="1">
      <c r="A62" s="16">
        <v>56</v>
      </c>
      <c r="B62" s="19" t="s">
        <v>237</v>
      </c>
      <c r="C62" s="9">
        <v>101002007116</v>
      </c>
      <c r="D62" s="43" t="s">
        <v>238</v>
      </c>
      <c r="E62" s="36" t="s">
        <v>239</v>
      </c>
      <c r="F62" s="6"/>
      <c r="G62" s="6"/>
      <c r="H62" s="47" t="s">
        <v>11</v>
      </c>
      <c r="I62" s="11">
        <v>1</v>
      </c>
      <c r="J62" s="44">
        <v>2</v>
      </c>
      <c r="K62" s="13"/>
    </row>
    <row r="63" spans="1:11" ht="20.100000000000001" customHeight="1">
      <c r="A63" s="16">
        <v>57</v>
      </c>
      <c r="B63" s="19"/>
      <c r="C63" s="9">
        <v>101002010152</v>
      </c>
      <c r="D63" s="43" t="s">
        <v>15</v>
      </c>
      <c r="E63" s="36" t="s">
        <v>149</v>
      </c>
      <c r="F63" s="6"/>
      <c r="G63" s="6"/>
      <c r="H63" s="11" t="s">
        <v>149</v>
      </c>
      <c r="I63" s="37">
        <v>1</v>
      </c>
      <c r="J63" s="44">
        <f>I63*6</f>
        <v>6</v>
      </c>
      <c r="K63" s="13"/>
    </row>
    <row r="64" spans="1:11" ht="20.100000000000001" customHeight="1">
      <c r="A64" s="21"/>
      <c r="B64" s="19"/>
      <c r="C64" s="9">
        <v>101002010151</v>
      </c>
      <c r="D64" s="43" t="s">
        <v>15</v>
      </c>
      <c r="E64" s="36" t="s">
        <v>21</v>
      </c>
      <c r="F64" s="6"/>
      <c r="G64" s="6"/>
      <c r="H64" s="11" t="s">
        <v>11</v>
      </c>
      <c r="I64" s="37">
        <v>1</v>
      </c>
      <c r="J64" s="44">
        <f t="shared" ref="J64:J65" si="6">I64*6</f>
        <v>6</v>
      </c>
      <c r="K64" s="13"/>
    </row>
    <row r="65" spans="1:11" ht="20.100000000000001" customHeight="1">
      <c r="A65" s="21"/>
      <c r="B65" s="19"/>
      <c r="C65" s="9" t="s">
        <v>240</v>
      </c>
      <c r="D65" s="11" t="s">
        <v>241</v>
      </c>
      <c r="E65" s="36" t="s">
        <v>155</v>
      </c>
      <c r="F65" s="6"/>
      <c r="G65" s="6"/>
      <c r="H65" s="11" t="s">
        <v>34</v>
      </c>
      <c r="I65" s="37">
        <v>2</v>
      </c>
      <c r="J65" s="44">
        <f t="shared" si="6"/>
        <v>12</v>
      </c>
      <c r="K65" s="48" t="s">
        <v>242</v>
      </c>
    </row>
    <row r="66" spans="1:11" ht="20.100000000000001" customHeight="1">
      <c r="A66" s="16">
        <v>58</v>
      </c>
      <c r="B66" s="19"/>
      <c r="C66" s="9" t="s">
        <v>243</v>
      </c>
      <c r="D66" s="43" t="s">
        <v>13</v>
      </c>
      <c r="E66" s="36" t="s">
        <v>175</v>
      </c>
      <c r="F66" s="6"/>
      <c r="G66" s="6"/>
      <c r="H66" s="49" t="s">
        <v>11</v>
      </c>
      <c r="I66" s="49">
        <v>1</v>
      </c>
      <c r="J66" s="44">
        <v>4</v>
      </c>
      <c r="K66" s="13"/>
    </row>
    <row r="67" spans="1:11" ht="20.100000000000001" customHeight="1">
      <c r="A67" s="28" t="s">
        <v>41</v>
      </c>
      <c r="B67" s="19" t="s">
        <v>22</v>
      </c>
      <c r="C67" s="19" t="s">
        <v>23</v>
      </c>
      <c r="D67" s="19" t="s">
        <v>24</v>
      </c>
      <c r="E67" s="5" t="s">
        <v>40</v>
      </c>
      <c r="F67" s="6"/>
      <c r="G67" s="6"/>
      <c r="H67" s="5" t="s">
        <v>40</v>
      </c>
      <c r="I67" s="19" t="s">
        <v>12</v>
      </c>
      <c r="J67" s="19">
        <f>I67*2</f>
        <v>2</v>
      </c>
      <c r="K67" s="13"/>
    </row>
    <row r="68" spans="1:11" ht="20.100000000000001" customHeight="1">
      <c r="A68" s="28" t="s">
        <v>42</v>
      </c>
      <c r="B68" s="19" t="s">
        <v>67</v>
      </c>
      <c r="C68" s="19" t="s">
        <v>25</v>
      </c>
      <c r="D68" s="19" t="s">
        <v>15</v>
      </c>
      <c r="E68" s="19" t="s">
        <v>21</v>
      </c>
      <c r="F68" s="20"/>
      <c r="G68" s="20"/>
      <c r="H68" s="19" t="s">
        <v>11</v>
      </c>
      <c r="I68" s="19" t="s">
        <v>12</v>
      </c>
      <c r="J68" s="19">
        <f t="shared" ref="J68:J92" si="7">I68*2</f>
        <v>2</v>
      </c>
      <c r="K68" s="13"/>
    </row>
    <row r="69" spans="1:11" ht="20.100000000000001" customHeight="1">
      <c r="A69" s="28" t="s">
        <v>43</v>
      </c>
      <c r="B69" s="19" t="s">
        <v>68</v>
      </c>
      <c r="C69" s="19" t="s">
        <v>26</v>
      </c>
      <c r="D69" s="19" t="s">
        <v>27</v>
      </c>
      <c r="E69" s="19" t="s">
        <v>14</v>
      </c>
      <c r="F69" s="6"/>
      <c r="G69" s="6"/>
      <c r="H69" s="19" t="s">
        <v>33</v>
      </c>
      <c r="I69" s="19" t="s">
        <v>12</v>
      </c>
      <c r="J69" s="19">
        <f t="shared" si="7"/>
        <v>2</v>
      </c>
      <c r="K69" s="13"/>
    </row>
    <row r="70" spans="1:11" ht="20.100000000000001" customHeight="1">
      <c r="A70" s="28" t="s">
        <v>44</v>
      </c>
      <c r="B70" s="19" t="s">
        <v>69</v>
      </c>
      <c r="C70" s="19" t="s">
        <v>93</v>
      </c>
      <c r="D70" s="19" t="s">
        <v>13</v>
      </c>
      <c r="E70" s="19" t="s">
        <v>16</v>
      </c>
      <c r="F70" s="6"/>
      <c r="G70" s="6"/>
      <c r="H70" s="19" t="s">
        <v>11</v>
      </c>
      <c r="I70" s="19" t="s">
        <v>20</v>
      </c>
      <c r="J70" s="19">
        <f t="shared" si="7"/>
        <v>8</v>
      </c>
      <c r="K70" s="13"/>
    </row>
    <row r="71" spans="1:11" ht="20.100000000000001" customHeight="1">
      <c r="A71" s="28" t="s">
        <v>45</v>
      </c>
      <c r="B71" s="19" t="s">
        <v>70</v>
      </c>
      <c r="C71" s="19" t="s">
        <v>92</v>
      </c>
      <c r="D71" s="19" t="s">
        <v>13</v>
      </c>
      <c r="E71" s="19" t="s">
        <v>35</v>
      </c>
      <c r="F71" s="6"/>
      <c r="G71" s="6"/>
      <c r="H71" s="19" t="s">
        <v>11</v>
      </c>
      <c r="I71" s="19" t="s">
        <v>19</v>
      </c>
      <c r="J71" s="19">
        <f t="shared" si="7"/>
        <v>4</v>
      </c>
      <c r="K71" s="13"/>
    </row>
    <row r="72" spans="1:11" ht="20.100000000000001" customHeight="1">
      <c r="A72" s="28" t="s">
        <v>46</v>
      </c>
      <c r="B72" s="19" t="s">
        <v>71</v>
      </c>
      <c r="C72" s="19" t="s">
        <v>94</v>
      </c>
      <c r="D72" s="19" t="s">
        <v>28</v>
      </c>
      <c r="E72" s="5" t="s">
        <v>40</v>
      </c>
      <c r="F72" s="5" t="s">
        <v>40</v>
      </c>
      <c r="G72" s="5" t="s">
        <v>40</v>
      </c>
      <c r="H72" s="5" t="s">
        <v>40</v>
      </c>
      <c r="I72" s="19" t="s">
        <v>38</v>
      </c>
      <c r="J72" s="19">
        <f t="shared" si="7"/>
        <v>28</v>
      </c>
      <c r="K72" s="5"/>
    </row>
    <row r="73" spans="1:11" ht="20.100000000000001" customHeight="1">
      <c r="A73" s="28" t="s">
        <v>47</v>
      </c>
      <c r="B73" s="19" t="s">
        <v>72</v>
      </c>
      <c r="C73" s="19" t="s">
        <v>98</v>
      </c>
      <c r="D73" s="19" t="s">
        <v>15</v>
      </c>
      <c r="E73" s="19" t="s">
        <v>21</v>
      </c>
      <c r="F73" s="5"/>
      <c r="G73" s="5"/>
      <c r="H73" s="19" t="s">
        <v>11</v>
      </c>
      <c r="I73" s="19" t="s">
        <v>96</v>
      </c>
      <c r="J73" s="19" t="s">
        <v>97</v>
      </c>
      <c r="K73" s="5"/>
    </row>
    <row r="74" spans="1:11" ht="20.100000000000001" customHeight="1">
      <c r="A74" s="28" t="s">
        <v>48</v>
      </c>
      <c r="B74" s="19" t="s">
        <v>73</v>
      </c>
      <c r="C74" s="19" t="s">
        <v>29</v>
      </c>
      <c r="D74" s="19" t="s">
        <v>15</v>
      </c>
      <c r="E74" s="19" t="s">
        <v>95</v>
      </c>
      <c r="F74" s="5"/>
      <c r="G74" s="5"/>
      <c r="H74" s="19" t="s">
        <v>11</v>
      </c>
      <c r="I74" s="19" t="s">
        <v>12</v>
      </c>
      <c r="J74" s="19" t="s">
        <v>97</v>
      </c>
      <c r="K74" s="5"/>
    </row>
    <row r="75" spans="1:11" ht="20.100000000000001" customHeight="1">
      <c r="A75" s="28" t="s">
        <v>49</v>
      </c>
      <c r="B75" s="19" t="s">
        <v>74</v>
      </c>
      <c r="C75" s="19" t="s">
        <v>99</v>
      </c>
      <c r="D75" s="19" t="s">
        <v>15</v>
      </c>
      <c r="E75" s="19" t="s">
        <v>21</v>
      </c>
      <c r="F75" s="20"/>
      <c r="G75" s="20"/>
      <c r="H75" s="19" t="s">
        <v>11</v>
      </c>
      <c r="I75" s="19" t="s">
        <v>12</v>
      </c>
      <c r="J75" s="19">
        <f t="shared" si="7"/>
        <v>2</v>
      </c>
      <c r="K75" s="5"/>
    </row>
    <row r="76" spans="1:11" ht="20.100000000000001" customHeight="1">
      <c r="A76" s="28" t="s">
        <v>50</v>
      </c>
      <c r="B76" s="19" t="s">
        <v>75</v>
      </c>
      <c r="C76" s="19" t="s">
        <v>100</v>
      </c>
      <c r="D76" s="19" t="s">
        <v>13</v>
      </c>
      <c r="E76" s="19" t="s">
        <v>36</v>
      </c>
      <c r="F76" s="20"/>
      <c r="G76" s="20"/>
      <c r="H76" s="19" t="s">
        <v>11</v>
      </c>
      <c r="I76" s="19" t="s">
        <v>12</v>
      </c>
      <c r="J76" s="19">
        <f t="shared" si="7"/>
        <v>2</v>
      </c>
      <c r="K76" s="5"/>
    </row>
    <row r="77" spans="1:11" ht="20.100000000000001" customHeight="1">
      <c r="A77" s="28" t="s">
        <v>51</v>
      </c>
      <c r="B77" s="19" t="s">
        <v>76</v>
      </c>
      <c r="C77" s="19" t="s">
        <v>101</v>
      </c>
      <c r="D77" s="19" t="s">
        <v>15</v>
      </c>
      <c r="E77" s="19" t="s">
        <v>21</v>
      </c>
      <c r="F77" s="5"/>
      <c r="G77" s="5"/>
      <c r="H77" s="19" t="s">
        <v>11</v>
      </c>
      <c r="I77" s="19" t="s">
        <v>19</v>
      </c>
      <c r="J77" s="19">
        <f t="shared" si="7"/>
        <v>4</v>
      </c>
      <c r="K77" s="5"/>
    </row>
    <row r="78" spans="1:11" ht="20.100000000000001" customHeight="1">
      <c r="A78" s="28" t="s">
        <v>52</v>
      </c>
      <c r="B78" s="19" t="s">
        <v>77</v>
      </c>
      <c r="C78" s="19" t="s">
        <v>102</v>
      </c>
      <c r="D78" s="19" t="s">
        <v>13</v>
      </c>
      <c r="E78" s="19" t="s">
        <v>16</v>
      </c>
      <c r="F78" s="5"/>
      <c r="G78" s="5"/>
      <c r="H78" s="19" t="s">
        <v>11</v>
      </c>
      <c r="I78" s="19" t="s">
        <v>38</v>
      </c>
      <c r="J78" s="19">
        <f t="shared" si="7"/>
        <v>28</v>
      </c>
      <c r="K78" s="5"/>
    </row>
    <row r="79" spans="1:11" ht="20.100000000000001" customHeight="1">
      <c r="A79" s="28" t="s">
        <v>53</v>
      </c>
      <c r="B79" s="19" t="s">
        <v>78</v>
      </c>
      <c r="C79" s="19" t="s">
        <v>103</v>
      </c>
      <c r="D79" s="19" t="s">
        <v>15</v>
      </c>
      <c r="E79" s="19" t="s">
        <v>37</v>
      </c>
      <c r="F79" s="20"/>
      <c r="G79" s="20"/>
      <c r="H79" s="19" t="s">
        <v>11</v>
      </c>
      <c r="I79" s="19" t="s">
        <v>19</v>
      </c>
      <c r="J79" s="19">
        <f t="shared" si="7"/>
        <v>4</v>
      </c>
      <c r="K79" s="5"/>
    </row>
    <row r="80" spans="1:11" ht="20.100000000000001" customHeight="1">
      <c r="A80" s="28" t="s">
        <v>54</v>
      </c>
      <c r="B80" s="19" t="s">
        <v>79</v>
      </c>
      <c r="C80" s="19" t="s">
        <v>104</v>
      </c>
      <c r="D80" s="19" t="s">
        <v>28</v>
      </c>
      <c r="E80" s="5" t="s">
        <v>40</v>
      </c>
      <c r="F80" s="5"/>
      <c r="G80" s="5"/>
      <c r="H80" s="5" t="s">
        <v>40</v>
      </c>
      <c r="I80" s="19" t="s">
        <v>12</v>
      </c>
      <c r="J80" s="19">
        <f t="shared" si="7"/>
        <v>2</v>
      </c>
      <c r="K80" s="5"/>
    </row>
    <row r="81" spans="1:11" ht="20.100000000000001" customHeight="1">
      <c r="A81" s="28" t="s">
        <v>55</v>
      </c>
      <c r="B81" s="19" t="s">
        <v>80</v>
      </c>
      <c r="C81" s="19" t="s">
        <v>30</v>
      </c>
      <c r="D81" s="19" t="s">
        <v>15</v>
      </c>
      <c r="E81" s="19" t="s">
        <v>21</v>
      </c>
      <c r="F81" s="5"/>
      <c r="G81" s="5"/>
      <c r="H81" s="19" t="s">
        <v>11</v>
      </c>
      <c r="I81" s="19" t="s">
        <v>19</v>
      </c>
      <c r="J81" s="19">
        <f t="shared" si="7"/>
        <v>4</v>
      </c>
      <c r="K81" s="5"/>
    </row>
    <row r="82" spans="1:11" ht="20.100000000000001" customHeight="1">
      <c r="A82" s="28" t="s">
        <v>56</v>
      </c>
      <c r="B82" s="19" t="s">
        <v>81</v>
      </c>
      <c r="C82" s="19" t="s">
        <v>105</v>
      </c>
      <c r="D82" s="19" t="s">
        <v>15</v>
      </c>
      <c r="E82" s="19" t="s">
        <v>21</v>
      </c>
      <c r="F82" s="5"/>
      <c r="G82" s="5"/>
      <c r="H82" s="19" t="s">
        <v>11</v>
      </c>
      <c r="I82" s="19" t="s">
        <v>19</v>
      </c>
      <c r="J82" s="19">
        <f t="shared" si="7"/>
        <v>4</v>
      </c>
      <c r="K82" s="5"/>
    </row>
    <row r="83" spans="1:11" ht="20.100000000000001" customHeight="1">
      <c r="A83" s="28" t="s">
        <v>57</v>
      </c>
      <c r="B83" s="19" t="s">
        <v>82</v>
      </c>
      <c r="C83" s="19" t="s">
        <v>106</v>
      </c>
      <c r="D83" s="19" t="s">
        <v>15</v>
      </c>
      <c r="E83" s="19" t="s">
        <v>21</v>
      </c>
      <c r="F83" s="5"/>
      <c r="G83" s="5"/>
      <c r="H83" s="19" t="s">
        <v>11</v>
      </c>
      <c r="I83" s="19" t="s">
        <v>12</v>
      </c>
      <c r="J83" s="19">
        <f t="shared" si="7"/>
        <v>2</v>
      </c>
      <c r="K83" s="5"/>
    </row>
    <row r="84" spans="1:11" ht="20.100000000000001" customHeight="1">
      <c r="A84" s="28" t="s">
        <v>58</v>
      </c>
      <c r="B84" s="19" t="s">
        <v>83</v>
      </c>
      <c r="C84" s="19" t="s">
        <v>107</v>
      </c>
      <c r="D84" s="19" t="s">
        <v>15</v>
      </c>
      <c r="E84" s="19" t="s">
        <v>21</v>
      </c>
      <c r="F84" s="5"/>
      <c r="G84" s="5"/>
      <c r="H84" s="19" t="s">
        <v>11</v>
      </c>
      <c r="I84" s="19" t="s">
        <v>12</v>
      </c>
      <c r="J84" s="19">
        <f t="shared" si="7"/>
        <v>2</v>
      </c>
      <c r="K84" s="5"/>
    </row>
    <row r="85" spans="1:11" ht="20.100000000000001" customHeight="1">
      <c r="A85" s="28" t="s">
        <v>59</v>
      </c>
      <c r="B85" s="19" t="s">
        <v>84</v>
      </c>
      <c r="C85" s="19" t="s">
        <v>108</v>
      </c>
      <c r="D85" s="19" t="s">
        <v>13</v>
      </c>
      <c r="E85" s="19" t="s">
        <v>36</v>
      </c>
      <c r="F85" s="5"/>
      <c r="G85" s="5"/>
      <c r="H85" s="19" t="s">
        <v>11</v>
      </c>
      <c r="I85" s="19" t="s">
        <v>12</v>
      </c>
      <c r="J85" s="19">
        <f t="shared" si="7"/>
        <v>2</v>
      </c>
      <c r="K85" s="5"/>
    </row>
    <row r="86" spans="1:11" ht="20.100000000000001" customHeight="1">
      <c r="A86" s="28" t="s">
        <v>60</v>
      </c>
      <c r="B86" s="19" t="s">
        <v>85</v>
      </c>
      <c r="C86" s="19" t="s">
        <v>109</v>
      </c>
      <c r="D86" s="19" t="s">
        <v>13</v>
      </c>
      <c r="E86" s="19" t="s">
        <v>16</v>
      </c>
      <c r="F86" s="5"/>
      <c r="G86" s="5"/>
      <c r="H86" s="19" t="s">
        <v>11</v>
      </c>
      <c r="I86" s="19" t="s">
        <v>19</v>
      </c>
      <c r="J86" s="19">
        <f t="shared" si="7"/>
        <v>4</v>
      </c>
      <c r="K86" s="5"/>
    </row>
    <row r="87" spans="1:11" ht="20.100000000000001" customHeight="1">
      <c r="A87" s="28" t="s">
        <v>61</v>
      </c>
      <c r="B87" s="19" t="s">
        <v>86</v>
      </c>
      <c r="C87" s="19" t="s">
        <v>110</v>
      </c>
      <c r="D87" s="19" t="s">
        <v>15</v>
      </c>
      <c r="E87" s="19" t="s">
        <v>21</v>
      </c>
      <c r="F87" s="5"/>
      <c r="G87" s="5"/>
      <c r="H87" s="19" t="s">
        <v>11</v>
      </c>
      <c r="I87" s="19" t="s">
        <v>38</v>
      </c>
      <c r="J87" s="19">
        <f t="shared" si="7"/>
        <v>28</v>
      </c>
      <c r="K87" s="5"/>
    </row>
    <row r="88" spans="1:11" ht="20.100000000000001" customHeight="1">
      <c r="A88" s="28" t="s">
        <v>62</v>
      </c>
      <c r="B88" s="19" t="s">
        <v>87</v>
      </c>
      <c r="C88" s="19" t="s">
        <v>31</v>
      </c>
      <c r="D88" s="19" t="s">
        <v>32</v>
      </c>
      <c r="E88" s="19" t="s">
        <v>369</v>
      </c>
      <c r="F88" s="5"/>
      <c r="G88" s="5"/>
      <c r="H88" s="19" t="s">
        <v>34</v>
      </c>
      <c r="I88" s="19" t="s">
        <v>12</v>
      </c>
      <c r="J88" s="19">
        <f t="shared" si="7"/>
        <v>2</v>
      </c>
      <c r="K88" s="5"/>
    </row>
    <row r="89" spans="1:11" ht="20.100000000000001" customHeight="1">
      <c r="A89" s="28" t="s">
        <v>63</v>
      </c>
      <c r="B89" s="19" t="s">
        <v>88</v>
      </c>
      <c r="C89" s="19" t="s">
        <v>111</v>
      </c>
      <c r="D89" s="19" t="s">
        <v>28</v>
      </c>
      <c r="E89" s="5" t="s">
        <v>40</v>
      </c>
      <c r="F89" s="5" t="s">
        <v>40</v>
      </c>
      <c r="G89" s="5" t="s">
        <v>40</v>
      </c>
      <c r="H89" s="5" t="s">
        <v>40</v>
      </c>
      <c r="I89" s="19" t="s">
        <v>39</v>
      </c>
      <c r="J89" s="19">
        <f t="shared" si="7"/>
        <v>16</v>
      </c>
      <c r="K89" s="5"/>
    </row>
    <row r="90" spans="1:11" ht="20.100000000000001" customHeight="1">
      <c r="A90" s="28" t="s">
        <v>64</v>
      </c>
      <c r="B90" s="19" t="s">
        <v>89</v>
      </c>
      <c r="C90" s="19" t="s">
        <v>113</v>
      </c>
      <c r="D90" s="19" t="s">
        <v>15</v>
      </c>
      <c r="E90" s="19" t="s">
        <v>21</v>
      </c>
      <c r="F90" s="5"/>
      <c r="G90" s="5"/>
      <c r="H90" s="19" t="s">
        <v>11</v>
      </c>
      <c r="I90" s="19" t="s">
        <v>19</v>
      </c>
      <c r="J90" s="19" t="s">
        <v>112</v>
      </c>
      <c r="K90" s="5"/>
    </row>
    <row r="91" spans="1:11" ht="20.100000000000001" customHeight="1">
      <c r="A91" s="28" t="s">
        <v>65</v>
      </c>
      <c r="B91" s="19" t="s">
        <v>90</v>
      </c>
      <c r="C91" s="19" t="s">
        <v>114</v>
      </c>
      <c r="D91" s="19" t="s">
        <v>15</v>
      </c>
      <c r="E91" s="19" t="s">
        <v>21</v>
      </c>
      <c r="F91" s="5"/>
      <c r="G91" s="5"/>
      <c r="H91" s="19" t="s">
        <v>11</v>
      </c>
      <c r="I91" s="19" t="s">
        <v>12</v>
      </c>
      <c r="J91" s="19">
        <f t="shared" si="7"/>
        <v>2</v>
      </c>
      <c r="K91" s="5"/>
    </row>
    <row r="92" spans="1:11" ht="20.100000000000001" customHeight="1">
      <c r="A92" s="28" t="s">
        <v>66</v>
      </c>
      <c r="B92" s="19" t="s">
        <v>91</v>
      </c>
      <c r="C92" s="19" t="s">
        <v>115</v>
      </c>
      <c r="D92" s="19" t="s">
        <v>13</v>
      </c>
      <c r="E92" s="19" t="s">
        <v>18</v>
      </c>
      <c r="F92" s="5"/>
      <c r="G92" s="5"/>
      <c r="H92" s="19" t="s">
        <v>11</v>
      </c>
      <c r="I92" s="19" t="s">
        <v>39</v>
      </c>
      <c r="J92" s="19">
        <f t="shared" si="7"/>
        <v>16</v>
      </c>
      <c r="K92" s="5"/>
    </row>
    <row r="93" spans="1:11" ht="20.100000000000001" customHeight="1">
      <c r="A93" s="5">
        <v>60</v>
      </c>
      <c r="B93" s="22"/>
      <c r="C93" s="9" t="s">
        <v>244</v>
      </c>
      <c r="D93" s="43" t="s">
        <v>13</v>
      </c>
      <c r="E93" s="36" t="s">
        <v>14</v>
      </c>
      <c r="F93" s="5"/>
      <c r="G93" s="5"/>
      <c r="H93" s="49" t="s">
        <v>11</v>
      </c>
      <c r="I93" s="49">
        <v>1</v>
      </c>
      <c r="J93" s="23">
        <v>16</v>
      </c>
      <c r="K93" s="5"/>
    </row>
    <row r="94" spans="1:11" ht="20.100000000000001" customHeight="1">
      <c r="A94" s="5">
        <v>61</v>
      </c>
      <c r="B94" s="22"/>
      <c r="C94" s="9">
        <v>101002006785</v>
      </c>
      <c r="D94" s="43" t="s">
        <v>245</v>
      </c>
      <c r="E94" s="36" t="s">
        <v>155</v>
      </c>
      <c r="F94" s="5"/>
      <c r="G94" s="5"/>
      <c r="H94" s="49" t="s">
        <v>246</v>
      </c>
      <c r="I94" s="49">
        <v>1</v>
      </c>
      <c r="J94" s="49">
        <v>11</v>
      </c>
      <c r="K94" s="33" t="s">
        <v>247</v>
      </c>
    </row>
    <row r="95" spans="1:11" ht="20.100000000000001" customHeight="1">
      <c r="A95" s="5">
        <v>62</v>
      </c>
      <c r="B95" s="22"/>
      <c r="C95" s="9">
        <v>101002006779</v>
      </c>
      <c r="D95" s="43" t="s">
        <v>120</v>
      </c>
      <c r="E95" s="36" t="s">
        <v>149</v>
      </c>
      <c r="F95" s="5"/>
      <c r="G95" s="5"/>
      <c r="H95" s="49" t="s">
        <v>149</v>
      </c>
      <c r="I95" s="49">
        <v>1</v>
      </c>
      <c r="J95" s="23">
        <f>I95*12</f>
        <v>12</v>
      </c>
      <c r="K95" s="5"/>
    </row>
    <row r="96" spans="1:11" ht="20.100000000000001" customHeight="1">
      <c r="A96" s="5"/>
      <c r="B96" s="22"/>
      <c r="C96" s="9">
        <v>101002000711</v>
      </c>
      <c r="D96" s="43" t="s">
        <v>13</v>
      </c>
      <c r="E96" s="36" t="s">
        <v>128</v>
      </c>
      <c r="F96" s="5"/>
      <c r="G96" s="5"/>
      <c r="H96" s="49" t="s">
        <v>11</v>
      </c>
      <c r="I96" s="49">
        <v>1</v>
      </c>
      <c r="J96" s="23">
        <f t="shared" ref="J96:J101" si="8">I96*12</f>
        <v>12</v>
      </c>
      <c r="K96" s="5"/>
    </row>
    <row r="97" spans="1:11" ht="20.100000000000001" customHeight="1">
      <c r="A97" s="5"/>
      <c r="B97" s="22"/>
      <c r="C97" s="9">
        <v>101002006780</v>
      </c>
      <c r="D97" s="43" t="s">
        <v>120</v>
      </c>
      <c r="E97" s="36" t="s">
        <v>17</v>
      </c>
      <c r="F97" s="5"/>
      <c r="G97" s="5"/>
      <c r="H97" s="49" t="s">
        <v>11</v>
      </c>
      <c r="I97" s="49">
        <v>1</v>
      </c>
      <c r="J97" s="23">
        <f t="shared" si="8"/>
        <v>12</v>
      </c>
      <c r="K97" s="5"/>
    </row>
    <row r="98" spans="1:11" ht="20.100000000000001" customHeight="1">
      <c r="A98" s="5"/>
      <c r="B98" s="22"/>
      <c r="C98" s="9">
        <v>101002006781</v>
      </c>
      <c r="D98" s="43" t="s">
        <v>13</v>
      </c>
      <c r="E98" s="36" t="s">
        <v>17</v>
      </c>
      <c r="F98" s="5"/>
      <c r="G98" s="5"/>
      <c r="H98" s="49" t="s">
        <v>11</v>
      </c>
      <c r="I98" s="49">
        <v>2</v>
      </c>
      <c r="J98" s="23">
        <f t="shared" si="8"/>
        <v>24</v>
      </c>
      <c r="K98" s="5"/>
    </row>
    <row r="99" spans="1:11" ht="20.100000000000001" customHeight="1">
      <c r="A99" s="5"/>
      <c r="B99" s="22"/>
      <c r="C99" s="9">
        <v>101002006782</v>
      </c>
      <c r="D99" s="43" t="s">
        <v>15</v>
      </c>
      <c r="E99" s="36" t="s">
        <v>21</v>
      </c>
      <c r="F99" s="5"/>
      <c r="G99" s="5"/>
      <c r="H99" s="49" t="s">
        <v>11</v>
      </c>
      <c r="I99" s="49">
        <v>1</v>
      </c>
      <c r="J99" s="23">
        <f t="shared" si="8"/>
        <v>12</v>
      </c>
      <c r="K99" s="5"/>
    </row>
    <row r="100" spans="1:11" ht="20.100000000000001" customHeight="1">
      <c r="A100" s="5"/>
      <c r="B100" s="8">
        <v>1303000012281</v>
      </c>
      <c r="C100" s="9">
        <v>101002006783</v>
      </c>
      <c r="D100" s="43" t="s">
        <v>13</v>
      </c>
      <c r="E100" s="36" t="s">
        <v>17</v>
      </c>
      <c r="F100" s="24"/>
      <c r="G100" s="24"/>
      <c r="H100" s="49" t="s">
        <v>11</v>
      </c>
      <c r="I100" s="49">
        <v>2</v>
      </c>
      <c r="J100" s="23">
        <f t="shared" si="8"/>
        <v>24</v>
      </c>
      <c r="K100" s="5"/>
    </row>
    <row r="101" spans="1:11" ht="20.100000000000001" customHeight="1">
      <c r="A101" s="5"/>
      <c r="B101" s="8">
        <v>1303000012282</v>
      </c>
      <c r="C101" s="9">
        <v>101002006784</v>
      </c>
      <c r="D101" s="43" t="s">
        <v>13</v>
      </c>
      <c r="E101" s="36" t="s">
        <v>16</v>
      </c>
      <c r="F101" s="5"/>
      <c r="G101" s="5"/>
      <c r="H101" s="49" t="s">
        <v>11</v>
      </c>
      <c r="I101" s="49">
        <v>1</v>
      </c>
      <c r="J101" s="23">
        <f t="shared" si="8"/>
        <v>12</v>
      </c>
      <c r="K101" s="5"/>
    </row>
    <row r="102" spans="1:11" ht="20.100000000000001" customHeight="1">
      <c r="A102" s="5">
        <v>63</v>
      </c>
      <c r="B102" s="8">
        <v>1303000030227</v>
      </c>
      <c r="C102" s="9">
        <v>101008006184</v>
      </c>
      <c r="D102" s="9" t="s">
        <v>116</v>
      </c>
      <c r="E102" s="19" t="s">
        <v>117</v>
      </c>
      <c r="F102" s="5"/>
      <c r="G102" s="5"/>
      <c r="H102" s="19" t="s">
        <v>11</v>
      </c>
      <c r="I102" s="11">
        <v>1</v>
      </c>
      <c r="J102" s="11">
        <v>4</v>
      </c>
      <c r="K102" s="5"/>
    </row>
    <row r="103" spans="1:11" ht="20.100000000000001" customHeight="1">
      <c r="A103" s="5">
        <v>64</v>
      </c>
      <c r="B103" s="19" t="s">
        <v>118</v>
      </c>
      <c r="C103" s="19" t="s">
        <v>119</v>
      </c>
      <c r="D103" s="19" t="s">
        <v>120</v>
      </c>
      <c r="E103" s="5" t="s">
        <v>40</v>
      </c>
      <c r="F103" s="5" t="s">
        <v>40</v>
      </c>
      <c r="G103" s="5" t="s">
        <v>40</v>
      </c>
      <c r="H103" s="5" t="s">
        <v>40</v>
      </c>
      <c r="I103" s="19" t="s">
        <v>12</v>
      </c>
      <c r="J103" s="27">
        <f>I103*2</f>
        <v>2</v>
      </c>
      <c r="K103" s="25"/>
    </row>
    <row r="104" spans="1:11" ht="20.100000000000001" customHeight="1">
      <c r="A104" s="5"/>
      <c r="B104" s="19" t="s">
        <v>121</v>
      </c>
      <c r="C104" s="19" t="s">
        <v>130</v>
      </c>
      <c r="D104" s="19" t="s">
        <v>15</v>
      </c>
      <c r="E104" s="19" t="s">
        <v>21</v>
      </c>
      <c r="F104" s="26"/>
      <c r="G104" s="26"/>
      <c r="H104" s="19" t="s">
        <v>11</v>
      </c>
      <c r="I104" s="19" t="s">
        <v>12</v>
      </c>
      <c r="J104" s="27">
        <f t="shared" ref="J104:J110" si="9">I104*2</f>
        <v>2</v>
      </c>
      <c r="K104" s="7"/>
    </row>
    <row r="105" spans="1:11" ht="20.100000000000001" customHeight="1">
      <c r="A105" s="5"/>
      <c r="B105" s="19" t="s">
        <v>122</v>
      </c>
      <c r="C105" s="19" t="s">
        <v>131</v>
      </c>
      <c r="D105" s="19" t="s">
        <v>13</v>
      </c>
      <c r="E105" s="19" t="s">
        <v>17</v>
      </c>
      <c r="F105" s="26"/>
      <c r="G105" s="26"/>
      <c r="H105" s="19" t="s">
        <v>11</v>
      </c>
      <c r="I105" s="19" t="s">
        <v>19</v>
      </c>
      <c r="J105" s="27">
        <f t="shared" si="9"/>
        <v>4</v>
      </c>
      <c r="K105" s="25"/>
    </row>
    <row r="106" spans="1:11" ht="20.100000000000001" customHeight="1">
      <c r="A106" s="52"/>
      <c r="B106" s="19" t="s">
        <v>123</v>
      </c>
      <c r="C106" s="19" t="s">
        <v>132</v>
      </c>
      <c r="D106" s="19" t="s">
        <v>13</v>
      </c>
      <c r="E106" s="19" t="s">
        <v>14</v>
      </c>
      <c r="F106" s="5"/>
      <c r="G106" s="5"/>
      <c r="H106" s="19" t="s">
        <v>11</v>
      </c>
      <c r="I106" s="19" t="s">
        <v>19</v>
      </c>
      <c r="J106" s="27">
        <f t="shared" si="9"/>
        <v>4</v>
      </c>
      <c r="K106" s="5"/>
    </row>
    <row r="107" spans="1:11" ht="20.100000000000001" customHeight="1">
      <c r="A107" s="52"/>
      <c r="B107" s="19" t="s">
        <v>124</v>
      </c>
      <c r="C107" s="19" t="s">
        <v>133</v>
      </c>
      <c r="D107" s="19" t="s">
        <v>13</v>
      </c>
      <c r="E107" s="19" t="s">
        <v>16</v>
      </c>
      <c r="F107" s="5"/>
      <c r="G107" s="5"/>
      <c r="H107" s="19" t="s">
        <v>129</v>
      </c>
      <c r="I107" s="19" t="s">
        <v>19</v>
      </c>
      <c r="J107" s="27">
        <f t="shared" si="9"/>
        <v>4</v>
      </c>
      <c r="K107" s="5"/>
    </row>
    <row r="108" spans="1:11" ht="20.100000000000001" customHeight="1">
      <c r="A108" s="52"/>
      <c r="B108" s="19" t="s">
        <v>125</v>
      </c>
      <c r="C108" s="19" t="s">
        <v>134</v>
      </c>
      <c r="D108" s="19" t="s">
        <v>13</v>
      </c>
      <c r="E108" s="19" t="s">
        <v>16</v>
      </c>
      <c r="F108" s="5"/>
      <c r="G108" s="5"/>
      <c r="H108" s="19" t="s">
        <v>11</v>
      </c>
      <c r="I108" s="19" t="s">
        <v>12</v>
      </c>
      <c r="J108" s="27">
        <f t="shared" si="9"/>
        <v>2</v>
      </c>
      <c r="K108" s="5"/>
    </row>
    <row r="109" spans="1:11" ht="20.100000000000001" customHeight="1">
      <c r="A109" s="52"/>
      <c r="B109" s="19" t="s">
        <v>126</v>
      </c>
      <c r="C109" s="19" t="s">
        <v>135</v>
      </c>
      <c r="D109" s="19" t="s">
        <v>120</v>
      </c>
      <c r="E109" s="19" t="s">
        <v>14</v>
      </c>
      <c r="F109" s="5"/>
      <c r="G109" s="5"/>
      <c r="H109" s="19" t="s">
        <v>11</v>
      </c>
      <c r="I109" s="19" t="s">
        <v>12</v>
      </c>
      <c r="J109" s="27">
        <f t="shared" si="9"/>
        <v>2</v>
      </c>
      <c r="K109" s="5"/>
    </row>
    <row r="110" spans="1:11" ht="20.100000000000001" customHeight="1">
      <c r="A110" s="52"/>
      <c r="B110" s="19" t="s">
        <v>127</v>
      </c>
      <c r="C110" s="19" t="s">
        <v>136</v>
      </c>
      <c r="D110" s="19" t="s">
        <v>13</v>
      </c>
      <c r="E110" s="19" t="s">
        <v>128</v>
      </c>
      <c r="F110" s="5"/>
      <c r="G110" s="5"/>
      <c r="H110" s="19" t="s">
        <v>11</v>
      </c>
      <c r="I110" s="19" t="s">
        <v>12</v>
      </c>
      <c r="J110" s="27">
        <f t="shared" si="9"/>
        <v>2</v>
      </c>
      <c r="K110" s="5"/>
    </row>
    <row r="111" spans="1:11" ht="20.100000000000001" customHeight="1">
      <c r="A111" s="52">
        <v>65</v>
      </c>
      <c r="B111" s="53"/>
      <c r="C111" s="9">
        <v>101002000728</v>
      </c>
      <c r="D111" s="43" t="s">
        <v>13</v>
      </c>
      <c r="E111" s="36" t="s">
        <v>14</v>
      </c>
      <c r="F111" s="52"/>
      <c r="G111" s="52"/>
      <c r="H111" s="49" t="s">
        <v>11</v>
      </c>
      <c r="I111" s="49">
        <v>1</v>
      </c>
      <c r="J111" s="51">
        <v>2</v>
      </c>
      <c r="K111" s="52"/>
    </row>
    <row r="112" spans="1:11" ht="20.100000000000001" customHeight="1">
      <c r="A112" s="50">
        <v>66</v>
      </c>
      <c r="B112" s="53"/>
      <c r="C112" s="9">
        <v>101002000730</v>
      </c>
      <c r="D112" s="43" t="s">
        <v>13</v>
      </c>
      <c r="E112" s="36" t="s">
        <v>14</v>
      </c>
      <c r="F112" s="52"/>
      <c r="G112" s="52"/>
      <c r="H112" s="49" t="s">
        <v>11</v>
      </c>
      <c r="I112" s="49">
        <v>1</v>
      </c>
      <c r="J112" s="51">
        <v>4</v>
      </c>
      <c r="K112" s="52"/>
    </row>
    <row r="113" spans="1:11" ht="20.100000000000001" customHeight="1">
      <c r="A113" s="50">
        <v>67</v>
      </c>
      <c r="B113" s="53"/>
      <c r="C113" s="9">
        <v>101002000732</v>
      </c>
      <c r="D113" s="43" t="s">
        <v>13</v>
      </c>
      <c r="E113" s="36" t="s">
        <v>14</v>
      </c>
      <c r="F113" s="52"/>
      <c r="G113" s="52"/>
      <c r="H113" s="49" t="s">
        <v>11</v>
      </c>
      <c r="I113" s="49">
        <v>1</v>
      </c>
      <c r="J113" s="51">
        <v>2</v>
      </c>
      <c r="K113" s="52"/>
    </row>
    <row r="114" spans="1:11" ht="20.100000000000001" customHeight="1">
      <c r="A114" s="50">
        <v>68</v>
      </c>
      <c r="B114" s="53"/>
      <c r="C114" s="9">
        <v>101002000733</v>
      </c>
      <c r="D114" s="43" t="s">
        <v>13</v>
      </c>
      <c r="E114" s="36" t="s">
        <v>14</v>
      </c>
      <c r="F114" s="52"/>
      <c r="G114" s="52"/>
      <c r="H114" s="49" t="s">
        <v>11</v>
      </c>
      <c r="I114" s="49">
        <v>1</v>
      </c>
      <c r="J114" s="51">
        <v>2</v>
      </c>
      <c r="K114" s="52"/>
    </row>
    <row r="115" spans="1:11" ht="38.25" customHeight="1">
      <c r="A115" s="50">
        <v>69</v>
      </c>
      <c r="B115" s="53"/>
      <c r="C115" s="58" t="s">
        <v>254</v>
      </c>
      <c r="D115" s="43" t="s">
        <v>13</v>
      </c>
      <c r="E115" s="36" t="s">
        <v>14</v>
      </c>
      <c r="F115" s="52"/>
      <c r="G115" s="52"/>
      <c r="H115" s="49" t="s">
        <v>11</v>
      </c>
      <c r="I115" s="49">
        <v>1</v>
      </c>
      <c r="J115" s="51">
        <v>2</v>
      </c>
      <c r="K115" s="52"/>
    </row>
    <row r="116" spans="1:11" ht="38.25" customHeight="1">
      <c r="A116" s="50">
        <v>70</v>
      </c>
      <c r="B116" s="53"/>
      <c r="C116" s="59" t="s">
        <v>255</v>
      </c>
      <c r="D116" s="45" t="s">
        <v>248</v>
      </c>
      <c r="E116" s="36" t="s">
        <v>249</v>
      </c>
      <c r="F116" s="52"/>
      <c r="G116" s="52"/>
      <c r="H116" s="49" t="s">
        <v>11</v>
      </c>
      <c r="I116" s="49">
        <v>1</v>
      </c>
      <c r="J116" s="49">
        <v>30</v>
      </c>
      <c r="K116" s="52"/>
    </row>
    <row r="117" spans="1:11" ht="20.100000000000001" customHeight="1">
      <c r="A117" s="52">
        <v>71</v>
      </c>
      <c r="B117" s="53"/>
      <c r="C117" s="9">
        <v>101002008109</v>
      </c>
      <c r="D117" s="45" t="s">
        <v>15</v>
      </c>
      <c r="E117" s="36" t="s">
        <v>184</v>
      </c>
      <c r="F117" s="49" t="s">
        <v>250</v>
      </c>
      <c r="G117" s="52"/>
      <c r="H117" s="49" t="s">
        <v>250</v>
      </c>
      <c r="I117" s="11">
        <v>1</v>
      </c>
      <c r="J117" s="11">
        <v>8</v>
      </c>
      <c r="K117" s="52"/>
    </row>
    <row r="118" spans="1:11" ht="20.100000000000001" customHeight="1">
      <c r="A118" s="52">
        <v>72</v>
      </c>
      <c r="B118" s="53"/>
      <c r="C118" s="9">
        <v>101002008191</v>
      </c>
      <c r="D118" s="43" t="s">
        <v>251</v>
      </c>
      <c r="E118" s="36" t="s">
        <v>17</v>
      </c>
      <c r="F118" s="49" t="s">
        <v>11</v>
      </c>
      <c r="G118" s="52"/>
      <c r="H118" s="49" t="s">
        <v>11</v>
      </c>
      <c r="I118" s="49">
        <v>1</v>
      </c>
      <c r="J118" s="49">
        <v>1</v>
      </c>
      <c r="K118" s="52"/>
    </row>
    <row r="119" spans="1:11" ht="20.100000000000001" customHeight="1">
      <c r="A119" s="52">
        <v>73</v>
      </c>
      <c r="B119" s="19" t="s">
        <v>137</v>
      </c>
      <c r="C119" s="53">
        <v>101008006247</v>
      </c>
      <c r="D119" s="52" t="s">
        <v>138</v>
      </c>
      <c r="E119" s="19" t="s">
        <v>139</v>
      </c>
      <c r="F119" s="52"/>
      <c r="G119" s="52"/>
      <c r="H119" s="19" t="s">
        <v>11</v>
      </c>
      <c r="I119" s="52">
        <v>1</v>
      </c>
      <c r="J119" s="52">
        <v>2</v>
      </c>
      <c r="K119" s="52"/>
    </row>
    <row r="120" spans="1:11" ht="38.25" customHeight="1">
      <c r="A120" s="52">
        <v>74</v>
      </c>
      <c r="B120" s="53"/>
      <c r="C120" s="55" t="s">
        <v>253</v>
      </c>
      <c r="D120" s="55" t="s">
        <v>252</v>
      </c>
      <c r="E120" s="56" t="s">
        <v>16</v>
      </c>
      <c r="F120" s="54"/>
      <c r="G120" s="54"/>
      <c r="H120" s="41" t="s">
        <v>11</v>
      </c>
      <c r="I120" s="57">
        <v>1</v>
      </c>
      <c r="J120" s="55">
        <v>2</v>
      </c>
      <c r="K120" s="52"/>
    </row>
    <row r="121" spans="1:11" ht="20.100000000000001" customHeight="1">
      <c r="A121" s="52">
        <v>75</v>
      </c>
      <c r="B121" s="53"/>
      <c r="C121" s="9" t="s">
        <v>256</v>
      </c>
      <c r="D121" s="43" t="s">
        <v>13</v>
      </c>
      <c r="E121" s="36" t="s">
        <v>14</v>
      </c>
      <c r="F121" s="52"/>
      <c r="G121" s="52"/>
      <c r="H121" s="49" t="s">
        <v>11</v>
      </c>
      <c r="I121" s="49">
        <v>1</v>
      </c>
      <c r="J121" s="49">
        <v>2</v>
      </c>
      <c r="K121" s="52"/>
    </row>
    <row r="122" spans="1:11" ht="20.100000000000001" customHeight="1">
      <c r="A122" s="52">
        <v>76</v>
      </c>
      <c r="B122" s="53"/>
      <c r="C122" s="9">
        <v>101002008076</v>
      </c>
      <c r="D122" s="60" t="s">
        <v>257</v>
      </c>
      <c r="E122" s="36" t="s">
        <v>149</v>
      </c>
      <c r="F122" s="52"/>
      <c r="G122" s="52"/>
      <c r="H122" s="49" t="s">
        <v>149</v>
      </c>
      <c r="I122" s="49">
        <v>1</v>
      </c>
      <c r="J122" s="49">
        <v>1</v>
      </c>
      <c r="K122" s="52"/>
    </row>
    <row r="123" spans="1:11" ht="20.100000000000001" customHeight="1">
      <c r="A123" s="52"/>
      <c r="B123" s="53"/>
      <c r="C123" s="9" t="s">
        <v>263</v>
      </c>
      <c r="D123" s="60" t="s">
        <v>258</v>
      </c>
      <c r="E123" s="36" t="s">
        <v>203</v>
      </c>
      <c r="F123" s="52"/>
      <c r="G123" s="52"/>
      <c r="H123" s="49" t="s">
        <v>11</v>
      </c>
      <c r="I123" s="49">
        <v>1</v>
      </c>
      <c r="J123" s="49">
        <v>1</v>
      </c>
      <c r="K123" s="52"/>
    </row>
    <row r="124" spans="1:11" ht="20.100000000000001" customHeight="1">
      <c r="A124" s="52"/>
      <c r="B124" s="53"/>
      <c r="C124" s="9" t="s">
        <v>259</v>
      </c>
      <c r="D124" s="60" t="s">
        <v>260</v>
      </c>
      <c r="E124" s="36" t="s">
        <v>203</v>
      </c>
      <c r="F124" s="52"/>
      <c r="G124" s="52"/>
      <c r="H124" s="49" t="s">
        <v>11</v>
      </c>
      <c r="I124" s="49">
        <v>1</v>
      </c>
      <c r="J124" s="49">
        <v>1</v>
      </c>
      <c r="K124" s="52"/>
    </row>
    <row r="125" spans="1:11" ht="20.100000000000001" customHeight="1">
      <c r="A125" s="52"/>
      <c r="B125" s="53"/>
      <c r="C125" s="9" t="s">
        <v>261</v>
      </c>
      <c r="D125" s="60" t="s">
        <v>262</v>
      </c>
      <c r="E125" s="36" t="s">
        <v>203</v>
      </c>
      <c r="F125" s="52"/>
      <c r="G125" s="52"/>
      <c r="H125" s="49" t="s">
        <v>11</v>
      </c>
      <c r="I125" s="49">
        <v>1</v>
      </c>
      <c r="J125" s="49">
        <v>1</v>
      </c>
      <c r="K125" s="52"/>
    </row>
    <row r="126" spans="1:11" ht="20.100000000000001" customHeight="1">
      <c r="A126" s="52">
        <v>77</v>
      </c>
      <c r="B126" s="53"/>
      <c r="C126" s="9" t="s">
        <v>264</v>
      </c>
      <c r="D126" s="43" t="s">
        <v>13</v>
      </c>
      <c r="E126" s="36" t="s">
        <v>14</v>
      </c>
      <c r="F126" s="52"/>
      <c r="G126" s="52"/>
      <c r="H126" s="49" t="s">
        <v>11</v>
      </c>
      <c r="I126" s="11">
        <v>1</v>
      </c>
      <c r="J126" s="11">
        <v>1</v>
      </c>
      <c r="K126" s="52"/>
    </row>
    <row r="127" spans="1:11" ht="20.100000000000001" customHeight="1">
      <c r="A127" s="52">
        <v>78</v>
      </c>
      <c r="B127" s="53"/>
      <c r="C127" s="9" t="s">
        <v>265</v>
      </c>
      <c r="D127" s="43" t="s">
        <v>13</v>
      </c>
      <c r="E127" s="36" t="s">
        <v>21</v>
      </c>
      <c r="F127" s="52"/>
      <c r="G127" s="52"/>
      <c r="H127" s="49" t="s">
        <v>11</v>
      </c>
      <c r="I127" s="11">
        <v>1</v>
      </c>
      <c r="J127" s="11">
        <v>2</v>
      </c>
      <c r="K127" s="52"/>
    </row>
    <row r="128" spans="1:11" ht="20.100000000000001" customHeight="1">
      <c r="A128" s="52">
        <v>79</v>
      </c>
      <c r="B128" s="53"/>
      <c r="C128" s="9">
        <v>101002008082</v>
      </c>
      <c r="D128" s="43" t="s">
        <v>13</v>
      </c>
      <c r="E128" s="36" t="s">
        <v>14</v>
      </c>
      <c r="F128" s="52"/>
      <c r="G128" s="52"/>
      <c r="H128" s="49" t="s">
        <v>11</v>
      </c>
      <c r="I128" s="49">
        <v>1</v>
      </c>
      <c r="J128" s="49">
        <v>1</v>
      </c>
      <c r="K128" s="52"/>
    </row>
    <row r="129" spans="1:11" ht="20.100000000000001" customHeight="1">
      <c r="A129" s="52">
        <v>80</v>
      </c>
      <c r="B129" s="53"/>
      <c r="C129" s="9" t="s">
        <v>266</v>
      </c>
      <c r="D129" s="61" t="s">
        <v>13</v>
      </c>
      <c r="E129" s="11" t="s">
        <v>175</v>
      </c>
      <c r="F129" s="52"/>
      <c r="G129" s="52"/>
      <c r="H129" s="49" t="s">
        <v>11</v>
      </c>
      <c r="I129" s="11">
        <v>1</v>
      </c>
      <c r="J129" s="11">
        <v>8</v>
      </c>
      <c r="K129" s="52"/>
    </row>
    <row r="130" spans="1:11" ht="20.100000000000001" customHeight="1">
      <c r="A130" s="52">
        <v>81</v>
      </c>
      <c r="B130" s="53"/>
      <c r="C130" s="9">
        <v>101002006768</v>
      </c>
      <c r="D130" s="43" t="s">
        <v>13</v>
      </c>
      <c r="E130" s="36" t="s">
        <v>14</v>
      </c>
      <c r="F130" s="52"/>
      <c r="G130" s="52"/>
      <c r="H130" s="49" t="s">
        <v>11</v>
      </c>
      <c r="I130" s="49">
        <v>1</v>
      </c>
      <c r="J130" s="11">
        <v>1</v>
      </c>
      <c r="K130" s="52"/>
    </row>
    <row r="131" spans="1:11" ht="20.100000000000001" customHeight="1">
      <c r="A131" s="52">
        <v>82</v>
      </c>
      <c r="B131" s="53"/>
      <c r="C131" s="9">
        <v>101002005859</v>
      </c>
      <c r="D131" s="60" t="s">
        <v>267</v>
      </c>
      <c r="E131" s="36" t="s">
        <v>17</v>
      </c>
      <c r="F131" s="52"/>
      <c r="G131" s="52"/>
      <c r="H131" s="49" t="s">
        <v>11</v>
      </c>
      <c r="I131" s="49">
        <v>1</v>
      </c>
      <c r="J131" s="11">
        <v>4</v>
      </c>
      <c r="K131" s="52"/>
    </row>
    <row r="132" spans="1:11" ht="20.100000000000001" customHeight="1">
      <c r="A132" s="52">
        <v>83</v>
      </c>
      <c r="B132" s="53"/>
      <c r="C132" s="27" t="s">
        <v>268</v>
      </c>
      <c r="D132" s="27" t="s">
        <v>269</v>
      </c>
      <c r="E132" s="62" t="s">
        <v>149</v>
      </c>
      <c r="F132" s="75"/>
      <c r="G132" s="75"/>
      <c r="H132" s="26" t="s">
        <v>149</v>
      </c>
      <c r="I132" s="62">
        <v>1</v>
      </c>
      <c r="J132" s="62">
        <v>2</v>
      </c>
      <c r="K132" s="62"/>
    </row>
    <row r="133" spans="1:11" ht="20.100000000000001" customHeight="1">
      <c r="A133" s="52"/>
      <c r="B133" s="53"/>
      <c r="C133" s="27" t="s">
        <v>274</v>
      </c>
      <c r="D133" s="27" t="s">
        <v>270</v>
      </c>
      <c r="E133" s="62" t="s">
        <v>14</v>
      </c>
      <c r="F133" s="75"/>
      <c r="G133" s="75"/>
      <c r="H133" s="26" t="s">
        <v>11</v>
      </c>
      <c r="I133" s="62">
        <v>1</v>
      </c>
      <c r="J133" s="62">
        <v>2</v>
      </c>
      <c r="K133" s="62"/>
    </row>
    <row r="134" spans="1:11" ht="20.100000000000001" customHeight="1">
      <c r="A134" s="52"/>
      <c r="B134" s="53"/>
      <c r="C134" s="27" t="s">
        <v>271</v>
      </c>
      <c r="D134" s="27" t="s">
        <v>272</v>
      </c>
      <c r="E134" s="62" t="s">
        <v>155</v>
      </c>
      <c r="F134" s="75"/>
      <c r="G134" s="75"/>
      <c r="H134" s="26" t="s">
        <v>146</v>
      </c>
      <c r="I134" s="62">
        <v>1</v>
      </c>
      <c r="J134" s="62">
        <f t="shared" ref="J134" si="10">I134*2</f>
        <v>2</v>
      </c>
      <c r="K134" s="26" t="s">
        <v>273</v>
      </c>
    </row>
    <row r="135" spans="1:11" ht="20.100000000000001" customHeight="1">
      <c r="A135" s="52">
        <v>84</v>
      </c>
      <c r="B135" s="53"/>
      <c r="C135" s="27" t="s">
        <v>274</v>
      </c>
      <c r="D135" s="27" t="s">
        <v>270</v>
      </c>
      <c r="E135" s="62" t="s">
        <v>14</v>
      </c>
      <c r="F135" s="75"/>
      <c r="G135" s="75"/>
      <c r="H135" s="26" t="s">
        <v>11</v>
      </c>
      <c r="I135" s="62">
        <v>1</v>
      </c>
      <c r="J135" s="62">
        <v>2</v>
      </c>
      <c r="K135" s="52"/>
    </row>
    <row r="136" spans="1:11" ht="20.100000000000001" customHeight="1">
      <c r="A136" s="52">
        <v>85</v>
      </c>
      <c r="B136" s="53"/>
      <c r="C136" s="63" t="s">
        <v>275</v>
      </c>
      <c r="D136" s="26" t="s">
        <v>276</v>
      </c>
      <c r="E136" s="62" t="s">
        <v>277</v>
      </c>
      <c r="F136" s="54"/>
      <c r="G136" s="54"/>
      <c r="H136" s="26" t="s">
        <v>11</v>
      </c>
      <c r="I136" s="62">
        <v>1</v>
      </c>
      <c r="J136" s="62">
        <v>20</v>
      </c>
      <c r="K136" s="26" t="s">
        <v>278</v>
      </c>
    </row>
    <row r="137" spans="1:11" ht="20.100000000000001" customHeight="1">
      <c r="A137" s="52">
        <v>86</v>
      </c>
      <c r="B137" s="64"/>
      <c r="C137" s="69" t="s">
        <v>279</v>
      </c>
      <c r="D137" s="70" t="s">
        <v>280</v>
      </c>
      <c r="E137" s="62" t="s">
        <v>149</v>
      </c>
      <c r="F137" s="54"/>
      <c r="G137" s="54"/>
      <c r="H137" s="26" t="s">
        <v>149</v>
      </c>
      <c r="I137" s="62">
        <v>1</v>
      </c>
      <c r="J137" s="54">
        <f>I137*8</f>
        <v>8</v>
      </c>
      <c r="K137" s="52"/>
    </row>
    <row r="138" spans="1:11" ht="20.100000000000001" customHeight="1">
      <c r="A138" s="52"/>
      <c r="B138" s="65"/>
      <c r="C138" s="66" t="s">
        <v>281</v>
      </c>
      <c r="D138" s="67" t="s">
        <v>280</v>
      </c>
      <c r="E138" s="62" t="s">
        <v>282</v>
      </c>
      <c r="F138" s="52"/>
      <c r="G138" s="52"/>
      <c r="H138" s="68" t="s">
        <v>11</v>
      </c>
      <c r="I138" s="62">
        <v>1</v>
      </c>
      <c r="J138" s="52">
        <f t="shared" ref="J138:J142" si="11">I138*8</f>
        <v>8</v>
      </c>
      <c r="K138" s="52"/>
    </row>
    <row r="139" spans="1:11" ht="20.100000000000001" customHeight="1">
      <c r="A139" s="52"/>
      <c r="B139" s="65"/>
      <c r="C139" s="66" t="s">
        <v>283</v>
      </c>
      <c r="D139" s="67" t="s">
        <v>284</v>
      </c>
      <c r="E139" s="62" t="s">
        <v>285</v>
      </c>
      <c r="F139" s="52"/>
      <c r="G139" s="52"/>
      <c r="H139" s="68" t="s">
        <v>11</v>
      </c>
      <c r="I139" s="62">
        <v>2</v>
      </c>
      <c r="J139" s="52">
        <f t="shared" si="11"/>
        <v>16</v>
      </c>
      <c r="K139" s="52"/>
    </row>
    <row r="140" spans="1:11" ht="20.100000000000001" customHeight="1">
      <c r="A140" s="52"/>
      <c r="B140" s="65"/>
      <c r="C140" s="66" t="s">
        <v>286</v>
      </c>
      <c r="D140" s="67" t="s">
        <v>287</v>
      </c>
      <c r="E140" s="62" t="s">
        <v>288</v>
      </c>
      <c r="F140" s="52"/>
      <c r="G140" s="52"/>
      <c r="H140" s="68" t="s">
        <v>11</v>
      </c>
      <c r="I140" s="62">
        <v>2</v>
      </c>
      <c r="J140" s="52">
        <f t="shared" si="11"/>
        <v>16</v>
      </c>
      <c r="K140" s="52"/>
    </row>
    <row r="141" spans="1:11" ht="20.100000000000001" customHeight="1">
      <c r="A141" s="52"/>
      <c r="B141" s="65"/>
      <c r="C141" s="66" t="s">
        <v>289</v>
      </c>
      <c r="D141" s="67" t="s">
        <v>290</v>
      </c>
      <c r="E141" s="62" t="s">
        <v>291</v>
      </c>
      <c r="F141" s="52"/>
      <c r="G141" s="52"/>
      <c r="H141" s="68" t="s">
        <v>11</v>
      </c>
      <c r="I141" s="62">
        <v>4</v>
      </c>
      <c r="J141" s="52">
        <f t="shared" si="11"/>
        <v>32</v>
      </c>
      <c r="K141" s="52"/>
    </row>
    <row r="142" spans="1:11" ht="20.100000000000001" customHeight="1">
      <c r="A142" s="52"/>
      <c r="B142" s="65">
        <v>1202010005946</v>
      </c>
      <c r="C142" s="66" t="s">
        <v>292</v>
      </c>
      <c r="D142" s="67" t="s">
        <v>293</v>
      </c>
      <c r="E142" s="62" t="s">
        <v>294</v>
      </c>
      <c r="F142" s="52"/>
      <c r="G142" s="52"/>
      <c r="H142" s="26" t="s">
        <v>295</v>
      </c>
      <c r="I142" s="62">
        <v>2</v>
      </c>
      <c r="J142" s="52">
        <f t="shared" si="11"/>
        <v>16</v>
      </c>
      <c r="K142" s="52"/>
    </row>
    <row r="143" spans="1:11" ht="20.100000000000001" customHeight="1">
      <c r="A143" s="52">
        <v>87</v>
      </c>
      <c r="B143" s="76"/>
      <c r="C143" s="69" t="s">
        <v>296</v>
      </c>
      <c r="D143" s="70" t="s">
        <v>280</v>
      </c>
      <c r="E143" s="62" t="s">
        <v>149</v>
      </c>
      <c r="F143" s="75"/>
      <c r="G143" s="75"/>
      <c r="H143" s="26" t="s">
        <v>149</v>
      </c>
      <c r="I143" s="62">
        <v>1</v>
      </c>
      <c r="J143" s="71">
        <f>I143*8</f>
        <v>8</v>
      </c>
      <c r="K143" s="52"/>
    </row>
    <row r="144" spans="1:11" ht="20.100000000000001" customHeight="1">
      <c r="A144" s="52"/>
      <c r="B144" s="76"/>
      <c r="C144" s="69" t="s">
        <v>281</v>
      </c>
      <c r="D144" s="70" t="s">
        <v>280</v>
      </c>
      <c r="E144" s="62" t="s">
        <v>282</v>
      </c>
      <c r="F144" s="75"/>
      <c r="G144" s="75"/>
      <c r="H144" s="26" t="s">
        <v>11</v>
      </c>
      <c r="I144" s="62">
        <v>1</v>
      </c>
      <c r="J144" s="71">
        <f t="shared" ref="J144:J147" si="12">I144*8</f>
        <v>8</v>
      </c>
      <c r="K144" s="52"/>
    </row>
    <row r="145" spans="1:11" ht="20.100000000000001" customHeight="1">
      <c r="A145" s="52"/>
      <c r="B145" s="76"/>
      <c r="C145" s="69" t="s">
        <v>286</v>
      </c>
      <c r="D145" s="70" t="s">
        <v>287</v>
      </c>
      <c r="E145" s="62" t="s">
        <v>288</v>
      </c>
      <c r="F145" s="75"/>
      <c r="G145" s="75"/>
      <c r="H145" s="26" t="s">
        <v>11</v>
      </c>
      <c r="I145" s="62">
        <v>2</v>
      </c>
      <c r="J145" s="71">
        <f t="shared" si="12"/>
        <v>16</v>
      </c>
      <c r="K145" s="52"/>
    </row>
    <row r="146" spans="1:11" ht="20.100000000000001" customHeight="1">
      <c r="A146" s="52"/>
      <c r="B146" s="76"/>
      <c r="C146" s="69" t="s">
        <v>289</v>
      </c>
      <c r="D146" s="70" t="s">
        <v>290</v>
      </c>
      <c r="E146" s="62" t="s">
        <v>291</v>
      </c>
      <c r="F146" s="75"/>
      <c r="G146" s="75"/>
      <c r="H146" s="26" t="s">
        <v>11</v>
      </c>
      <c r="I146" s="62">
        <v>4</v>
      </c>
      <c r="J146" s="71">
        <f t="shared" si="12"/>
        <v>32</v>
      </c>
      <c r="K146" s="52"/>
    </row>
    <row r="147" spans="1:11" ht="20.100000000000001" customHeight="1">
      <c r="A147" s="52"/>
      <c r="B147" s="76"/>
      <c r="C147" s="69" t="s">
        <v>297</v>
      </c>
      <c r="D147" s="70" t="s">
        <v>298</v>
      </c>
      <c r="E147" s="62" t="s">
        <v>285</v>
      </c>
      <c r="F147" s="75"/>
      <c r="G147" s="75"/>
      <c r="H147" s="26" t="s">
        <v>11</v>
      </c>
      <c r="I147" s="62">
        <v>2</v>
      </c>
      <c r="J147" s="71">
        <f t="shared" si="12"/>
        <v>16</v>
      </c>
      <c r="K147" s="52"/>
    </row>
    <row r="148" spans="1:11" ht="20.100000000000001" customHeight="1">
      <c r="A148" s="52">
        <v>88</v>
      </c>
      <c r="B148" s="9">
        <v>1303000020465</v>
      </c>
      <c r="C148" s="9" t="s">
        <v>299</v>
      </c>
      <c r="D148" s="61" t="s">
        <v>300</v>
      </c>
      <c r="E148" s="72" t="s">
        <v>184</v>
      </c>
      <c r="F148" s="52"/>
      <c r="G148" s="52"/>
      <c r="H148" s="49" t="s">
        <v>192</v>
      </c>
      <c r="I148" s="49">
        <v>1</v>
      </c>
      <c r="J148" s="52">
        <v>3</v>
      </c>
      <c r="K148" s="52"/>
    </row>
    <row r="149" spans="1:11" ht="20.100000000000001" customHeight="1">
      <c r="A149" s="52">
        <v>89</v>
      </c>
      <c r="B149" s="53"/>
      <c r="C149" s="9" t="s">
        <v>301</v>
      </c>
      <c r="D149" s="51" t="s">
        <v>306</v>
      </c>
      <c r="E149" s="36" t="s">
        <v>17</v>
      </c>
      <c r="F149" s="52"/>
      <c r="G149" s="52"/>
      <c r="H149" s="26" t="s">
        <v>11</v>
      </c>
      <c r="I149" s="52">
        <v>1</v>
      </c>
      <c r="J149" s="51">
        <v>2</v>
      </c>
      <c r="K149" s="52"/>
    </row>
    <row r="150" spans="1:11" ht="20.100000000000001" customHeight="1">
      <c r="A150" s="52">
        <v>90</v>
      </c>
      <c r="B150" s="53"/>
      <c r="C150" s="9" t="s">
        <v>302</v>
      </c>
      <c r="D150" s="51" t="s">
        <v>306</v>
      </c>
      <c r="E150" s="36" t="s">
        <v>17</v>
      </c>
      <c r="F150" s="52"/>
      <c r="G150" s="52"/>
      <c r="H150" s="26" t="s">
        <v>11</v>
      </c>
      <c r="I150" s="52">
        <v>1</v>
      </c>
      <c r="J150" s="51">
        <v>6</v>
      </c>
      <c r="K150" s="52"/>
    </row>
    <row r="151" spans="1:11" ht="20.100000000000001" customHeight="1">
      <c r="A151" s="52">
        <v>91</v>
      </c>
      <c r="B151" s="53"/>
      <c r="C151" s="9" t="s">
        <v>303</v>
      </c>
      <c r="D151" s="51" t="s">
        <v>306</v>
      </c>
      <c r="E151" s="36" t="s">
        <v>14</v>
      </c>
      <c r="F151" s="52"/>
      <c r="G151" s="52"/>
      <c r="H151" s="26" t="s">
        <v>11</v>
      </c>
      <c r="I151" s="52">
        <v>1</v>
      </c>
      <c r="J151" s="51">
        <v>2</v>
      </c>
      <c r="K151" s="52"/>
    </row>
    <row r="152" spans="1:11" ht="20.100000000000001" customHeight="1">
      <c r="A152" s="52">
        <v>92</v>
      </c>
      <c r="B152" s="53"/>
      <c r="C152" s="9" t="s">
        <v>304</v>
      </c>
      <c r="D152" s="51" t="s">
        <v>306</v>
      </c>
      <c r="E152" s="36" t="s">
        <v>14</v>
      </c>
      <c r="F152" s="52"/>
      <c r="G152" s="52"/>
      <c r="H152" s="26" t="s">
        <v>11</v>
      </c>
      <c r="I152" s="52">
        <v>1</v>
      </c>
      <c r="J152" s="51">
        <v>6</v>
      </c>
      <c r="K152" s="52"/>
    </row>
    <row r="153" spans="1:11" ht="20.100000000000001" customHeight="1">
      <c r="A153" s="52">
        <v>93</v>
      </c>
      <c r="B153" s="53"/>
      <c r="C153" s="9" t="s">
        <v>305</v>
      </c>
      <c r="D153" s="51" t="s">
        <v>306</v>
      </c>
      <c r="E153" s="36" t="s">
        <v>17</v>
      </c>
      <c r="F153" s="52"/>
      <c r="G153" s="52"/>
      <c r="H153" s="26" t="s">
        <v>11</v>
      </c>
      <c r="I153" s="52">
        <v>1</v>
      </c>
      <c r="J153" s="51">
        <v>2</v>
      </c>
      <c r="K153" s="52"/>
    </row>
    <row r="154" spans="1:11" ht="20.100000000000001" customHeight="1">
      <c r="A154" s="52">
        <v>94</v>
      </c>
      <c r="B154" s="53"/>
      <c r="C154" s="9" t="s">
        <v>307</v>
      </c>
      <c r="D154" s="33" t="s">
        <v>308</v>
      </c>
      <c r="E154" s="36" t="s">
        <v>149</v>
      </c>
      <c r="F154" s="52"/>
      <c r="G154" s="52"/>
      <c r="H154" s="49" t="s">
        <v>149</v>
      </c>
      <c r="I154" s="49">
        <v>1</v>
      </c>
      <c r="J154" s="52">
        <f>I154*2</f>
        <v>2</v>
      </c>
      <c r="K154" s="52"/>
    </row>
    <row r="155" spans="1:11" ht="20.100000000000001" customHeight="1">
      <c r="A155" s="52"/>
      <c r="B155" s="53"/>
      <c r="C155" s="9" t="s">
        <v>314</v>
      </c>
      <c r="D155" s="33" t="s">
        <v>15</v>
      </c>
      <c r="E155" s="36" t="s">
        <v>14</v>
      </c>
      <c r="F155" s="52"/>
      <c r="G155" s="52"/>
      <c r="H155" s="49" t="s">
        <v>11</v>
      </c>
      <c r="I155" s="49">
        <v>2</v>
      </c>
      <c r="J155" s="52">
        <f t="shared" ref="J155:J163" si="13">I155*2</f>
        <v>4</v>
      </c>
      <c r="K155" s="52"/>
    </row>
    <row r="156" spans="1:11" ht="20.100000000000001" customHeight="1">
      <c r="A156" s="52"/>
      <c r="B156" s="53"/>
      <c r="C156" s="9" t="s">
        <v>309</v>
      </c>
      <c r="D156" s="33" t="s">
        <v>15</v>
      </c>
      <c r="E156" s="36" t="s">
        <v>14</v>
      </c>
      <c r="F156" s="52"/>
      <c r="G156" s="52"/>
      <c r="H156" s="49" t="s">
        <v>11</v>
      </c>
      <c r="I156" s="49">
        <v>2</v>
      </c>
      <c r="J156" s="52">
        <f t="shared" si="13"/>
        <v>4</v>
      </c>
      <c r="K156" s="52"/>
    </row>
    <row r="157" spans="1:11" ht="20.100000000000001" customHeight="1">
      <c r="A157" s="52"/>
      <c r="B157" s="53"/>
      <c r="C157" s="9" t="s">
        <v>310</v>
      </c>
      <c r="D157" s="33" t="s">
        <v>212</v>
      </c>
      <c r="E157" s="36" t="s">
        <v>311</v>
      </c>
      <c r="F157" s="52"/>
      <c r="G157" s="52"/>
      <c r="H157" s="49" t="s">
        <v>11</v>
      </c>
      <c r="I157" s="49">
        <v>1</v>
      </c>
      <c r="J157" s="52">
        <f t="shared" si="13"/>
        <v>2</v>
      </c>
      <c r="K157" s="52"/>
    </row>
    <row r="158" spans="1:11" ht="20.100000000000001" customHeight="1">
      <c r="A158" s="52"/>
      <c r="B158" s="53"/>
      <c r="C158" s="9" t="s">
        <v>312</v>
      </c>
      <c r="D158" s="33" t="s">
        <v>15</v>
      </c>
      <c r="E158" s="36" t="s">
        <v>14</v>
      </c>
      <c r="F158" s="52"/>
      <c r="G158" s="52"/>
      <c r="H158" s="49" t="s">
        <v>11</v>
      </c>
      <c r="I158" s="49">
        <v>1</v>
      </c>
      <c r="J158" s="52">
        <f t="shared" si="13"/>
        <v>2</v>
      </c>
      <c r="K158" s="52"/>
    </row>
    <row r="159" spans="1:11" ht="20.100000000000001" customHeight="1">
      <c r="A159" s="52"/>
      <c r="B159" s="53"/>
      <c r="C159" s="9" t="s">
        <v>315</v>
      </c>
      <c r="D159" s="33" t="s">
        <v>28</v>
      </c>
      <c r="E159" s="36" t="s">
        <v>17</v>
      </c>
      <c r="F159" s="52"/>
      <c r="G159" s="52"/>
      <c r="H159" s="49" t="s">
        <v>11</v>
      </c>
      <c r="I159" s="49">
        <v>2</v>
      </c>
      <c r="J159" s="52">
        <f t="shared" si="13"/>
        <v>4</v>
      </c>
      <c r="K159" s="52"/>
    </row>
    <row r="160" spans="1:11" ht="20.100000000000001" customHeight="1">
      <c r="A160" s="52"/>
      <c r="B160" s="53"/>
      <c r="C160" s="9" t="s">
        <v>316</v>
      </c>
      <c r="D160" s="33" t="s">
        <v>13</v>
      </c>
      <c r="E160" s="36" t="s">
        <v>175</v>
      </c>
      <c r="F160" s="52"/>
      <c r="G160" s="52"/>
      <c r="H160" s="49" t="s">
        <v>11</v>
      </c>
      <c r="I160" s="49">
        <v>2</v>
      </c>
      <c r="J160" s="52">
        <f t="shared" si="13"/>
        <v>4</v>
      </c>
      <c r="K160" s="52"/>
    </row>
    <row r="161" spans="1:11" ht="20.100000000000001" customHeight="1">
      <c r="A161" s="52"/>
      <c r="B161" s="53"/>
      <c r="C161" s="9" t="s">
        <v>317</v>
      </c>
      <c r="D161" s="33" t="s">
        <v>15</v>
      </c>
      <c r="E161" s="36" t="s">
        <v>14</v>
      </c>
      <c r="F161" s="52"/>
      <c r="G161" s="52"/>
      <c r="H161" s="49" t="s">
        <v>11</v>
      </c>
      <c r="I161" s="49">
        <v>1</v>
      </c>
      <c r="J161" s="52">
        <f t="shared" si="13"/>
        <v>2</v>
      </c>
      <c r="K161" s="52"/>
    </row>
    <row r="162" spans="1:11" ht="20.100000000000001" customHeight="1">
      <c r="A162" s="52"/>
      <c r="B162" s="53"/>
      <c r="C162" s="9" t="s">
        <v>318</v>
      </c>
      <c r="D162" s="33" t="s">
        <v>313</v>
      </c>
      <c r="E162" s="36" t="s">
        <v>18</v>
      </c>
      <c r="F162" s="52"/>
      <c r="G162" s="52"/>
      <c r="H162" s="49" t="s">
        <v>11</v>
      </c>
      <c r="I162" s="49">
        <v>4</v>
      </c>
      <c r="J162" s="52">
        <f t="shared" si="13"/>
        <v>8</v>
      </c>
      <c r="K162" s="52"/>
    </row>
    <row r="163" spans="1:11" ht="20.100000000000001" customHeight="1">
      <c r="A163" s="52"/>
      <c r="B163" s="53"/>
      <c r="C163" s="9" t="s">
        <v>319</v>
      </c>
      <c r="D163" s="33" t="s">
        <v>13</v>
      </c>
      <c r="E163" s="36" t="s">
        <v>175</v>
      </c>
      <c r="F163" s="52"/>
      <c r="G163" s="52"/>
      <c r="H163" s="49" t="s">
        <v>11</v>
      </c>
      <c r="I163" s="49">
        <v>2</v>
      </c>
      <c r="J163" s="52">
        <f t="shared" si="13"/>
        <v>4</v>
      </c>
      <c r="K163" s="52"/>
    </row>
    <row r="164" spans="1:11" ht="20.100000000000001" customHeight="1">
      <c r="A164" s="37">
        <v>95</v>
      </c>
      <c r="B164" s="11"/>
      <c r="C164" s="9" t="s">
        <v>320</v>
      </c>
      <c r="D164" s="33" t="s">
        <v>321</v>
      </c>
      <c r="E164" s="36" t="s">
        <v>149</v>
      </c>
      <c r="F164" s="52"/>
      <c r="G164" s="52"/>
      <c r="H164" s="49" t="s">
        <v>149</v>
      </c>
      <c r="I164" s="49">
        <v>1</v>
      </c>
      <c r="J164" s="52">
        <f>I164*2</f>
        <v>2</v>
      </c>
      <c r="K164" s="33"/>
    </row>
    <row r="165" spans="1:11" ht="20.100000000000001" customHeight="1">
      <c r="A165" s="11">
        <v>95.1</v>
      </c>
      <c r="B165" s="11"/>
      <c r="C165" s="9" t="s">
        <v>322</v>
      </c>
      <c r="D165" s="33" t="s">
        <v>15</v>
      </c>
      <c r="E165" s="36" t="s">
        <v>149</v>
      </c>
      <c r="F165" s="52"/>
      <c r="G165" s="52"/>
      <c r="H165" s="49" t="s">
        <v>149</v>
      </c>
      <c r="I165" s="49">
        <v>1</v>
      </c>
      <c r="J165" s="52">
        <f t="shared" ref="J165:J183" si="14">I165*2</f>
        <v>2</v>
      </c>
      <c r="K165" s="33"/>
    </row>
    <row r="166" spans="1:11" ht="20.100000000000001" customHeight="1">
      <c r="A166" s="73" t="s">
        <v>346</v>
      </c>
      <c r="B166" s="11"/>
      <c r="C166" s="9" t="s">
        <v>323</v>
      </c>
      <c r="D166" s="33" t="s">
        <v>15</v>
      </c>
      <c r="E166" s="36" t="s">
        <v>14</v>
      </c>
      <c r="F166" s="52"/>
      <c r="G166" s="52"/>
      <c r="H166" s="49" t="s">
        <v>11</v>
      </c>
      <c r="I166" s="49">
        <v>1</v>
      </c>
      <c r="J166" s="52">
        <f t="shared" si="14"/>
        <v>2</v>
      </c>
      <c r="K166" s="33"/>
    </row>
    <row r="167" spans="1:11" ht="20.100000000000001" customHeight="1">
      <c r="A167" s="73" t="s">
        <v>347</v>
      </c>
      <c r="B167" s="11"/>
      <c r="C167" s="9" t="s">
        <v>324</v>
      </c>
      <c r="D167" s="33" t="s">
        <v>15</v>
      </c>
      <c r="E167" s="36" t="s">
        <v>14</v>
      </c>
      <c r="F167" s="52"/>
      <c r="G167" s="52"/>
      <c r="H167" s="49" t="s">
        <v>11</v>
      </c>
      <c r="I167" s="49">
        <v>1</v>
      </c>
      <c r="J167" s="52">
        <f t="shared" si="14"/>
        <v>2</v>
      </c>
      <c r="K167" s="33"/>
    </row>
    <row r="168" spans="1:11" ht="20.100000000000001" customHeight="1">
      <c r="A168" s="73" t="s">
        <v>348</v>
      </c>
      <c r="B168" s="11"/>
      <c r="C168" s="9" t="s">
        <v>325</v>
      </c>
      <c r="D168" s="33" t="s">
        <v>326</v>
      </c>
      <c r="E168" s="36" t="s">
        <v>155</v>
      </c>
      <c r="F168" s="52"/>
      <c r="G168" s="52"/>
      <c r="H168" s="49" t="s">
        <v>11</v>
      </c>
      <c r="I168" s="49">
        <v>2</v>
      </c>
      <c r="J168" s="52">
        <f t="shared" si="14"/>
        <v>4</v>
      </c>
      <c r="K168" s="33" t="s">
        <v>341</v>
      </c>
    </row>
    <row r="169" spans="1:11" ht="20.100000000000001" customHeight="1">
      <c r="A169" s="11">
        <v>95.2</v>
      </c>
      <c r="B169" s="11"/>
      <c r="C169" s="9" t="s">
        <v>355</v>
      </c>
      <c r="D169" s="33" t="s">
        <v>13</v>
      </c>
      <c r="E169" s="36" t="s">
        <v>206</v>
      </c>
      <c r="F169" s="52"/>
      <c r="G169" s="52"/>
      <c r="H169" s="49" t="s">
        <v>11</v>
      </c>
      <c r="I169" s="49">
        <v>2</v>
      </c>
      <c r="J169" s="52">
        <f t="shared" si="14"/>
        <v>4</v>
      </c>
      <c r="K169" s="33"/>
    </row>
    <row r="170" spans="1:11" ht="20.100000000000001" customHeight="1">
      <c r="A170" s="11">
        <v>95.3</v>
      </c>
      <c r="B170" s="11"/>
      <c r="C170" s="9">
        <v>101002001099</v>
      </c>
      <c r="D170" s="33" t="s">
        <v>209</v>
      </c>
      <c r="E170" s="36" t="s">
        <v>14</v>
      </c>
      <c r="F170" s="52"/>
      <c r="G170" s="52"/>
      <c r="H170" s="49" t="s">
        <v>11</v>
      </c>
      <c r="I170" s="49">
        <v>1</v>
      </c>
      <c r="J170" s="52">
        <f t="shared" si="14"/>
        <v>2</v>
      </c>
      <c r="K170" s="33"/>
    </row>
    <row r="171" spans="1:11" ht="20.100000000000001" customHeight="1">
      <c r="A171" s="11">
        <v>95.4</v>
      </c>
      <c r="B171" s="11"/>
      <c r="C171" s="9">
        <v>101002001100</v>
      </c>
      <c r="D171" s="33" t="s">
        <v>327</v>
      </c>
      <c r="E171" s="36" t="s">
        <v>14</v>
      </c>
      <c r="F171" s="52"/>
      <c r="G171" s="52"/>
      <c r="H171" s="49" t="s">
        <v>11</v>
      </c>
      <c r="I171" s="49">
        <v>1</v>
      </c>
      <c r="J171" s="52">
        <f t="shared" si="14"/>
        <v>2</v>
      </c>
      <c r="K171" s="33"/>
    </row>
    <row r="172" spans="1:11" ht="20.100000000000001" customHeight="1">
      <c r="A172" s="11">
        <v>95.5</v>
      </c>
      <c r="B172" s="11"/>
      <c r="C172" s="9" t="s">
        <v>328</v>
      </c>
      <c r="D172" s="33" t="s">
        <v>15</v>
      </c>
      <c r="E172" s="36" t="s">
        <v>14</v>
      </c>
      <c r="F172" s="52"/>
      <c r="G172" s="52"/>
      <c r="H172" s="49" t="s">
        <v>11</v>
      </c>
      <c r="I172" s="49">
        <v>1</v>
      </c>
      <c r="J172" s="52">
        <f t="shared" si="14"/>
        <v>2</v>
      </c>
      <c r="K172" s="33"/>
    </row>
    <row r="173" spans="1:11" ht="20.100000000000001" customHeight="1">
      <c r="A173" s="11">
        <v>95.6</v>
      </c>
      <c r="B173" s="11"/>
      <c r="C173" s="9" t="s">
        <v>329</v>
      </c>
      <c r="D173" s="33" t="s">
        <v>330</v>
      </c>
      <c r="E173" s="36" t="s">
        <v>14</v>
      </c>
      <c r="F173" s="52"/>
      <c r="G173" s="52"/>
      <c r="H173" s="49" t="s">
        <v>11</v>
      </c>
      <c r="I173" s="49">
        <v>1</v>
      </c>
      <c r="J173" s="52">
        <f t="shared" si="14"/>
        <v>2</v>
      </c>
      <c r="K173" s="33" t="s">
        <v>342</v>
      </c>
    </row>
    <row r="174" spans="1:11" ht="20.100000000000001" customHeight="1">
      <c r="A174" s="11">
        <v>95.7</v>
      </c>
      <c r="B174" s="11"/>
      <c r="C174" s="9" t="s">
        <v>331</v>
      </c>
      <c r="D174" s="33" t="s">
        <v>272</v>
      </c>
      <c r="E174" s="36" t="s">
        <v>155</v>
      </c>
      <c r="F174" s="52"/>
      <c r="G174" s="52"/>
      <c r="H174" s="49" t="s">
        <v>11</v>
      </c>
      <c r="I174" s="49">
        <v>2</v>
      </c>
      <c r="J174" s="52">
        <f t="shared" si="14"/>
        <v>4</v>
      </c>
      <c r="K174" s="33" t="s">
        <v>343</v>
      </c>
    </row>
    <row r="175" spans="1:11" ht="20.100000000000001" customHeight="1">
      <c r="A175" s="11">
        <v>95.8</v>
      </c>
      <c r="B175" s="11"/>
      <c r="C175" s="9" t="s">
        <v>356</v>
      </c>
      <c r="D175" s="33" t="s">
        <v>13</v>
      </c>
      <c r="E175" s="36" t="s">
        <v>21</v>
      </c>
      <c r="F175" s="52"/>
      <c r="G175" s="52"/>
      <c r="H175" s="49" t="s">
        <v>11</v>
      </c>
      <c r="I175" s="49">
        <v>2</v>
      </c>
      <c r="J175" s="52">
        <f t="shared" si="14"/>
        <v>4</v>
      </c>
      <c r="K175" s="33"/>
    </row>
    <row r="176" spans="1:11" ht="20.100000000000001" customHeight="1">
      <c r="A176" s="11">
        <v>95.9</v>
      </c>
      <c r="B176" s="11"/>
      <c r="C176" s="9" t="s">
        <v>368</v>
      </c>
      <c r="D176" s="33" t="s">
        <v>140</v>
      </c>
      <c r="E176" s="36" t="s">
        <v>149</v>
      </c>
      <c r="F176" s="52"/>
      <c r="G176" s="52"/>
      <c r="H176" s="49" t="s">
        <v>149</v>
      </c>
      <c r="I176" s="49">
        <v>2</v>
      </c>
      <c r="J176" s="52">
        <f t="shared" si="14"/>
        <v>4</v>
      </c>
      <c r="K176" s="33"/>
    </row>
    <row r="177" spans="1:11" ht="20.100000000000001" customHeight="1">
      <c r="A177" s="11" t="s">
        <v>349</v>
      </c>
      <c r="B177" s="11"/>
      <c r="C177" s="9" t="s">
        <v>332</v>
      </c>
      <c r="D177" s="33" t="s">
        <v>333</v>
      </c>
      <c r="E177" s="36" t="s">
        <v>14</v>
      </c>
      <c r="F177" s="52"/>
      <c r="G177" s="52"/>
      <c r="H177" s="49" t="s">
        <v>11</v>
      </c>
      <c r="I177" s="49">
        <v>1</v>
      </c>
      <c r="J177" s="52">
        <v>4</v>
      </c>
      <c r="K177" s="33"/>
    </row>
    <row r="178" spans="1:11" ht="20.100000000000001" customHeight="1">
      <c r="A178" s="73" t="s">
        <v>350</v>
      </c>
      <c r="B178" s="11"/>
      <c r="C178" s="9" t="s">
        <v>334</v>
      </c>
      <c r="D178" s="33" t="s">
        <v>335</v>
      </c>
      <c r="E178" s="36" t="s">
        <v>14</v>
      </c>
      <c r="F178" s="52"/>
      <c r="G178" s="52"/>
      <c r="H178" s="49" t="s">
        <v>11</v>
      </c>
      <c r="I178" s="49">
        <v>1</v>
      </c>
      <c r="J178" s="52">
        <v>4</v>
      </c>
      <c r="K178" s="33"/>
    </row>
    <row r="179" spans="1:11" ht="20.100000000000001" customHeight="1">
      <c r="A179" s="11" t="s">
        <v>351</v>
      </c>
      <c r="B179" s="9">
        <v>1202020005697</v>
      </c>
      <c r="C179" s="9" t="s">
        <v>336</v>
      </c>
      <c r="D179" s="11" t="s">
        <v>337</v>
      </c>
      <c r="E179" s="36" t="s">
        <v>277</v>
      </c>
      <c r="F179" s="52"/>
      <c r="G179" s="52"/>
      <c r="H179" s="49" t="s">
        <v>295</v>
      </c>
      <c r="I179" s="49">
        <v>2</v>
      </c>
      <c r="J179" s="52">
        <f t="shared" si="14"/>
        <v>4</v>
      </c>
      <c r="K179" s="33" t="s">
        <v>344</v>
      </c>
    </row>
    <row r="180" spans="1:11" ht="20.100000000000001" customHeight="1">
      <c r="A180" s="74">
        <v>95.1</v>
      </c>
      <c r="B180" s="11"/>
      <c r="C180" s="9" t="s">
        <v>338</v>
      </c>
      <c r="D180" s="33" t="s">
        <v>140</v>
      </c>
      <c r="E180" s="36" t="s">
        <v>149</v>
      </c>
      <c r="F180" s="52"/>
      <c r="G180" s="52"/>
      <c r="H180" s="49" t="s">
        <v>149</v>
      </c>
      <c r="I180" s="49">
        <v>2</v>
      </c>
      <c r="J180" s="52">
        <f t="shared" si="14"/>
        <v>4</v>
      </c>
      <c r="K180" s="33" t="s">
        <v>345</v>
      </c>
    </row>
    <row r="181" spans="1:11" ht="20.100000000000001" customHeight="1">
      <c r="A181" s="73" t="s">
        <v>352</v>
      </c>
      <c r="B181" s="11"/>
      <c r="C181" s="9" t="s">
        <v>339</v>
      </c>
      <c r="D181" s="33" t="s">
        <v>333</v>
      </c>
      <c r="E181" s="36" t="s">
        <v>14</v>
      </c>
      <c r="F181" s="52"/>
      <c r="G181" s="52"/>
      <c r="H181" s="49" t="s">
        <v>11</v>
      </c>
      <c r="I181" s="49">
        <v>1</v>
      </c>
      <c r="J181" s="52">
        <v>4</v>
      </c>
      <c r="K181" s="33"/>
    </row>
    <row r="182" spans="1:11" ht="20.100000000000001" customHeight="1">
      <c r="A182" s="73" t="s">
        <v>353</v>
      </c>
      <c r="B182" s="11"/>
      <c r="C182" s="9" t="s">
        <v>367</v>
      </c>
      <c r="D182" s="33" t="s">
        <v>335</v>
      </c>
      <c r="E182" s="36" t="s">
        <v>14</v>
      </c>
      <c r="F182" s="52"/>
      <c r="G182" s="52"/>
      <c r="H182" s="49" t="s">
        <v>11</v>
      </c>
      <c r="I182" s="49">
        <v>1</v>
      </c>
      <c r="J182" s="52">
        <v>4</v>
      </c>
      <c r="K182" s="33"/>
    </row>
    <row r="183" spans="1:11" ht="20.100000000000001" customHeight="1">
      <c r="A183" s="73" t="s">
        <v>354</v>
      </c>
      <c r="B183" s="9">
        <v>1202020005697</v>
      </c>
      <c r="C183" s="9" t="s">
        <v>340</v>
      </c>
      <c r="D183" s="11" t="s">
        <v>366</v>
      </c>
      <c r="E183" s="36" t="s">
        <v>277</v>
      </c>
      <c r="F183" s="52"/>
      <c r="G183" s="52"/>
      <c r="H183" s="49" t="s">
        <v>34</v>
      </c>
      <c r="I183" s="49">
        <v>2</v>
      </c>
      <c r="J183" s="52">
        <f t="shared" si="14"/>
        <v>4</v>
      </c>
      <c r="K183" s="33" t="s">
        <v>344</v>
      </c>
    </row>
    <row r="184" spans="1:11" ht="20.100000000000001" customHeight="1">
      <c r="A184" s="37">
        <v>96</v>
      </c>
      <c r="B184" s="11"/>
      <c r="C184" s="9">
        <v>248037110</v>
      </c>
      <c r="D184" s="33" t="s">
        <v>357</v>
      </c>
      <c r="E184" s="36" t="s">
        <v>149</v>
      </c>
      <c r="F184" s="52"/>
      <c r="G184" s="52"/>
      <c r="H184" s="49" t="s">
        <v>149</v>
      </c>
      <c r="I184" s="49">
        <v>1</v>
      </c>
      <c r="J184" s="11">
        <v>2</v>
      </c>
      <c r="K184" s="52"/>
    </row>
    <row r="185" spans="1:11" ht="20.100000000000001" customHeight="1">
      <c r="A185" s="37">
        <v>96.1</v>
      </c>
      <c r="B185" s="9"/>
      <c r="C185" s="9" t="s">
        <v>358</v>
      </c>
      <c r="D185" s="33" t="s">
        <v>140</v>
      </c>
      <c r="E185" s="36" t="s">
        <v>175</v>
      </c>
      <c r="F185" s="52"/>
      <c r="G185" s="52"/>
      <c r="H185" s="49" t="s">
        <v>11</v>
      </c>
      <c r="I185" s="49">
        <v>1</v>
      </c>
      <c r="J185" s="11">
        <v>2</v>
      </c>
      <c r="K185" s="52"/>
    </row>
    <row r="186" spans="1:11" ht="20.100000000000001" customHeight="1">
      <c r="A186" s="37">
        <v>96.2</v>
      </c>
      <c r="B186" s="9">
        <v>1303000022758</v>
      </c>
      <c r="C186" s="9" t="s">
        <v>359</v>
      </c>
      <c r="D186" s="33" t="s">
        <v>13</v>
      </c>
      <c r="E186" s="36" t="s">
        <v>175</v>
      </c>
      <c r="F186" s="52"/>
      <c r="G186" s="52"/>
      <c r="H186" s="49" t="s">
        <v>11</v>
      </c>
      <c r="I186" s="49">
        <v>2</v>
      </c>
      <c r="J186" s="11">
        <v>4</v>
      </c>
      <c r="K186" s="52"/>
    </row>
    <row r="187" spans="1:11" ht="20.100000000000001" customHeight="1">
      <c r="A187" s="37">
        <v>97</v>
      </c>
      <c r="B187" s="9">
        <v>1303000030370</v>
      </c>
      <c r="C187" s="9">
        <v>248037120</v>
      </c>
      <c r="D187" s="33" t="s">
        <v>360</v>
      </c>
      <c r="E187" s="36" t="s">
        <v>149</v>
      </c>
      <c r="F187" s="52"/>
      <c r="G187" s="52"/>
      <c r="H187" s="49" t="s">
        <v>149</v>
      </c>
      <c r="I187" s="49">
        <v>1</v>
      </c>
      <c r="J187" s="11">
        <v>2</v>
      </c>
      <c r="K187" s="52"/>
    </row>
    <row r="188" spans="1:11" ht="20.100000000000001" customHeight="1">
      <c r="A188" s="11">
        <v>97.1</v>
      </c>
      <c r="B188" s="9">
        <v>1303000017822</v>
      </c>
      <c r="C188" s="9" t="s">
        <v>361</v>
      </c>
      <c r="D188" s="72" t="s">
        <v>362</v>
      </c>
      <c r="E188" s="11" t="s">
        <v>21</v>
      </c>
      <c r="F188" s="52"/>
      <c r="G188" s="52"/>
      <c r="H188" s="49" t="s">
        <v>146</v>
      </c>
      <c r="I188" s="49">
        <v>1</v>
      </c>
      <c r="J188" s="11">
        <f>I188*J187</f>
        <v>2</v>
      </c>
      <c r="K188" s="52"/>
    </row>
    <row r="189" spans="1:11" ht="20.100000000000001" customHeight="1">
      <c r="A189" s="11">
        <v>97.2</v>
      </c>
      <c r="B189" s="9">
        <v>1303000030365</v>
      </c>
      <c r="C189" s="61" t="s">
        <v>363</v>
      </c>
      <c r="D189" s="72" t="s">
        <v>13</v>
      </c>
      <c r="E189" s="11" t="s">
        <v>21</v>
      </c>
      <c r="F189" s="52"/>
      <c r="G189" s="52"/>
      <c r="H189" s="49" t="s">
        <v>11</v>
      </c>
      <c r="I189" s="49">
        <v>1</v>
      </c>
      <c r="J189" s="11">
        <f t="shared" ref="J189:J190" si="15">I189*J188</f>
        <v>2</v>
      </c>
      <c r="K189" s="52"/>
    </row>
    <row r="190" spans="1:11" ht="20.100000000000001" customHeight="1">
      <c r="A190" s="11">
        <v>97.3</v>
      </c>
      <c r="B190" s="9">
        <v>1303000017823</v>
      </c>
      <c r="C190" s="61" t="s">
        <v>364</v>
      </c>
      <c r="D190" s="72" t="s">
        <v>365</v>
      </c>
      <c r="E190" s="11" t="s">
        <v>16</v>
      </c>
      <c r="F190" s="52"/>
      <c r="G190" s="52"/>
      <c r="H190" s="49" t="s">
        <v>11</v>
      </c>
      <c r="I190" s="11">
        <v>2</v>
      </c>
      <c r="J190" s="11">
        <f t="shared" si="15"/>
        <v>4</v>
      </c>
      <c r="K190" s="52"/>
    </row>
  </sheetData>
  <autoFilter ref="A1:K190" xr:uid="{C2E401EF-42A2-4C02-BF96-D5276E3EDC51}"/>
  <phoneticPr fontId="1" type="noConversion"/>
  <conditionalFormatting sqref="C73:C74">
    <cfRule type="duplicateValues" dxfId="5" priority="4" stopIfTrue="1"/>
  </conditionalFormatting>
  <conditionalFormatting sqref="C75:C82">
    <cfRule type="duplicateValues" dxfId="4" priority="5" stopIfTrue="1"/>
  </conditionalFormatting>
  <conditionalFormatting sqref="C83:C91">
    <cfRule type="duplicateValues" dxfId="3" priority="6" stopIfTrue="1"/>
  </conditionalFormatting>
  <conditionalFormatting sqref="C93:C95">
    <cfRule type="duplicateValues" dxfId="2" priority="3" stopIfTrue="1"/>
  </conditionalFormatting>
  <conditionalFormatting sqref="C96">
    <cfRule type="duplicateValues" dxfId="1" priority="2" stopIfTrue="1"/>
  </conditionalFormatting>
  <conditionalFormatting sqref="C97:C98">
    <cfRule type="duplicateValues" dxfId="0" priority="1" stopIfTrue="1"/>
  </conditionalFormatting>
  <pageMargins left="0" right="0" top="0.59055118110236227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cp:lastPrinted>2025-11-24T07:17:13Z</cp:lastPrinted>
  <dcterms:created xsi:type="dcterms:W3CDTF">2025-08-23T02:23:06Z</dcterms:created>
  <dcterms:modified xsi:type="dcterms:W3CDTF">2026-04-02T06:18:22Z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Name">
    <vt:lpwstr>
    </vt:lpwstr>
  </property>
  <property fmtid="{D5CDD505-2E9C-101B-9397-08002B2CF9AE}" pid="3" name="Date">
    <vt:lpwstr>2025-11-10</vt:lpwstr>
  </property>
  <property fmtid="{D5CDD505-2E9C-101B-9397-08002B2CF9AE}" pid="4" name="ProjectNumber">
    <vt:lpwstr> </vt:lpwstr>
  </property>
</Properties>
</file>