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8A1A27CF-FFF4-4953-A904-F1BDDE71E06E}" xr6:coauthVersionLast="47" xr6:coauthVersionMax="47" xr10:uidLastSave="{00000000-0000-0000-0000-000000000000}"/>
  <bookViews>
    <workbookView xWindow="-120" yWindow="-120" windowWidth="29040" windowHeight="15840" xr2:uid="{CDFD4921-75BE-4816-83AF-F942F08843C2}"/>
  </bookViews>
  <sheets>
    <sheet name="Sheet1" sheetId="1" r:id="rId1"/>
  </sheets>
  <definedNames>
    <definedName name="_xlnm._FilterDatabase" localSheetId="0" hidden="1">Sheet1!$A$1:$K$48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/>
  <c r="J47" i="1"/>
  <c r="J45" i="1"/>
  <c r="J41" i="1"/>
  <c r="J42" i="1"/>
  <c r="J40" i="1"/>
</calcChain>
</file>

<file path=xl/sharedStrings.xml><?xml version="1.0" encoding="utf-8"?>
<sst xmlns="http://schemas.openxmlformats.org/spreadsheetml/2006/main" count="273" uniqueCount="141">
  <si>
    <t>序号</t>
    <phoneticPr fontId="1" type="noConversion"/>
  </si>
  <si>
    <t>物料ID</t>
    <phoneticPr fontId="1" type="noConversion"/>
  </si>
  <si>
    <t>图号</t>
    <phoneticPr fontId="1" type="noConversion"/>
  </si>
  <si>
    <t>名称</t>
    <phoneticPr fontId="1" type="noConversion"/>
  </si>
  <si>
    <t>厚度</t>
    <phoneticPr fontId="1" type="noConversion"/>
  </si>
  <si>
    <t>材质</t>
    <phoneticPr fontId="1" type="noConversion"/>
  </si>
  <si>
    <t>数量</t>
    <phoneticPr fontId="1" type="noConversion"/>
  </si>
  <si>
    <t>总数量</t>
    <phoneticPr fontId="1" type="noConversion"/>
  </si>
  <si>
    <t>备注</t>
    <phoneticPr fontId="1" type="noConversion"/>
  </si>
  <si>
    <t>长度</t>
    <phoneticPr fontId="1" type="noConversion"/>
  </si>
  <si>
    <t>宽度</t>
    <phoneticPr fontId="1" type="noConversion"/>
  </si>
  <si>
    <t>管体组焊件</t>
  </si>
  <si>
    <t>风管组焊件</t>
  </si>
  <si>
    <t>下料管组焊件</t>
  </si>
  <si>
    <t>101004002196</t>
  </si>
  <si>
    <t>组件</t>
  </si>
  <si>
    <t>101004002194</t>
  </si>
  <si>
    <t>管</t>
  </si>
  <si>
    <t>T3</t>
  </si>
  <si>
    <t>06Cr19Ni10</t>
  </si>
  <si>
    <t>101004002198</t>
  </si>
  <si>
    <t>垫</t>
  </si>
  <si>
    <t>T6</t>
  </si>
  <si>
    <t>101004002199（2640000102-1）</t>
  </si>
  <si>
    <t>进风口</t>
  </si>
  <si>
    <t>101004002199-1</t>
  </si>
  <si>
    <t>圆环</t>
  </si>
  <si>
    <t>T2</t>
  </si>
  <si>
    <t>101004002199-2</t>
  </si>
  <si>
    <t>锥管</t>
  </si>
  <si>
    <t>1</t>
    <phoneticPr fontId="4" type="noConversion"/>
  </si>
  <si>
    <t>1303000015082</t>
    <phoneticPr fontId="4" type="noConversion"/>
  </si>
  <si>
    <t>组件</t>
    <phoneticPr fontId="4" type="noConversion"/>
  </si>
  <si>
    <t>1303000015081</t>
    <phoneticPr fontId="4" type="noConversion"/>
  </si>
  <si>
    <t>101004002904</t>
  </si>
  <si>
    <t>法兰</t>
    <phoneticPr fontId="4" type="noConversion"/>
  </si>
  <si>
    <t>1303000015074</t>
    <phoneticPr fontId="4" type="noConversion"/>
  </si>
  <si>
    <t>101004002905</t>
  </si>
  <si>
    <t>板</t>
    <phoneticPr fontId="4" type="noConversion"/>
  </si>
  <si>
    <t>T6</t>
    <phoneticPr fontId="4" type="noConversion"/>
  </si>
  <si>
    <t>1303000015075</t>
    <phoneticPr fontId="4" type="noConversion"/>
  </si>
  <si>
    <t>101004002907</t>
  </si>
  <si>
    <t>1303000015077</t>
    <phoneticPr fontId="4" type="noConversion"/>
  </si>
  <si>
    <t>T2</t>
    <phoneticPr fontId="4" type="noConversion"/>
  </si>
  <si>
    <t>06Cr19Ni10</t>
    <phoneticPr fontId="4" type="noConversion"/>
  </si>
  <si>
    <t>1303000015078</t>
    <phoneticPr fontId="4" type="noConversion"/>
  </si>
  <si>
    <t>1303000015079</t>
    <phoneticPr fontId="4" type="noConversion"/>
  </si>
  <si>
    <t>管</t>
    <phoneticPr fontId="4" type="noConversion"/>
  </si>
  <si>
    <t>T3</t>
    <phoneticPr fontId="4" type="noConversion"/>
  </si>
  <si>
    <t>外协滚圆加工</t>
    <phoneticPr fontId="4" type="noConversion"/>
  </si>
  <si>
    <t>1303000015076</t>
    <phoneticPr fontId="4" type="noConversion"/>
  </si>
  <si>
    <t>弯板</t>
    <phoneticPr fontId="4" type="noConversion"/>
  </si>
  <si>
    <t>101004003967</t>
  </si>
  <si>
    <t>过渡管</t>
  </si>
  <si>
    <t>101004003968</t>
  </si>
  <si>
    <t>法兰</t>
  </si>
  <si>
    <t>101004003969</t>
  </si>
  <si>
    <t>1</t>
  </si>
  <si>
    <t>1303000026495</t>
  </si>
  <si>
    <t>101008005985</t>
  </si>
  <si>
    <t>101004003970</t>
  </si>
  <si>
    <t>变径管</t>
  </si>
  <si>
    <t>101004003971</t>
  </si>
  <si>
    <t>弯板</t>
  </si>
  <si>
    <t>101008005987</t>
  </si>
  <si>
    <t>101004001891</t>
  </si>
  <si>
    <t>101004001892</t>
  </si>
  <si>
    <t>板</t>
  </si>
  <si>
    <t>101004001893</t>
  </si>
  <si>
    <t>101008005986</t>
  </si>
  <si>
    <t xml:space="preserve">06Cr19Ni10 </t>
  </si>
  <si>
    <t>2</t>
  </si>
  <si>
    <t>组件</t>
    <phoneticPr fontId="1" type="noConversion"/>
  </si>
  <si>
    <t>3</t>
    <phoneticPr fontId="1" type="noConversion"/>
  </si>
  <si>
    <t>3.1</t>
    <phoneticPr fontId="1" type="noConversion"/>
  </si>
  <si>
    <t>3.2</t>
    <phoneticPr fontId="1" type="noConversion"/>
  </si>
  <si>
    <t>3.3</t>
    <phoneticPr fontId="1" type="noConversion"/>
  </si>
  <si>
    <t>3.4</t>
    <phoneticPr fontId="1" type="noConversion"/>
  </si>
  <si>
    <t>3.5</t>
    <phoneticPr fontId="1" type="noConversion"/>
  </si>
  <si>
    <t>1303000026494</t>
    <phoneticPr fontId="1" type="noConversion"/>
  </si>
  <si>
    <t>1303000026488</t>
    <phoneticPr fontId="1" type="noConversion"/>
  </si>
  <si>
    <t>1303000026489</t>
    <phoneticPr fontId="1" type="noConversion"/>
  </si>
  <si>
    <t>1303000026490</t>
    <phoneticPr fontId="1" type="noConversion"/>
  </si>
  <si>
    <t>1303000014994</t>
    <phoneticPr fontId="1" type="noConversion"/>
  </si>
  <si>
    <t>1303000014990</t>
    <phoneticPr fontId="1" type="noConversion"/>
  </si>
  <si>
    <t>1303000014991</t>
    <phoneticPr fontId="1" type="noConversion"/>
  </si>
  <si>
    <t>1303000026491</t>
    <phoneticPr fontId="1" type="noConversion"/>
  </si>
  <si>
    <t>内径200mm</t>
    <phoneticPr fontId="1" type="noConversion"/>
  </si>
  <si>
    <t>1+1 内径200mm</t>
    <phoneticPr fontId="1" type="noConversion"/>
  </si>
  <si>
    <t>外购</t>
    <phoneticPr fontId="1" type="noConversion"/>
  </si>
  <si>
    <t>箱体</t>
  </si>
  <si>
    <t>块</t>
  </si>
  <si>
    <t>夹弓</t>
  </si>
  <si>
    <t>夹衬</t>
  </si>
  <si>
    <t>101002010379-1</t>
    <phoneticPr fontId="4" type="noConversion"/>
  </si>
  <si>
    <t>T1</t>
  </si>
  <si>
    <t>101002010379-2</t>
    <phoneticPr fontId="4" type="noConversion"/>
  </si>
  <si>
    <t>101002010379-3</t>
    <phoneticPr fontId="4" type="noConversion"/>
  </si>
  <si>
    <t>T0.5</t>
  </si>
  <si>
    <t>101002010361-1</t>
    <phoneticPr fontId="4" type="noConversion"/>
  </si>
  <si>
    <t>101002010361-2</t>
    <phoneticPr fontId="4" type="noConversion"/>
  </si>
  <si>
    <t>101002010361-3</t>
    <phoneticPr fontId="4" type="noConversion"/>
  </si>
  <si>
    <t>1303000026647</t>
  </si>
  <si>
    <t>101003003313</t>
  </si>
  <si>
    <t>101003003150</t>
  </si>
  <si>
    <t>左法兰</t>
  </si>
  <si>
    <t>101003003147</t>
  </si>
  <si>
    <t>左板</t>
  </si>
  <si>
    <t>101003003315</t>
  </si>
  <si>
    <t>101003003149</t>
  </si>
  <si>
    <t>右法兰</t>
  </si>
  <si>
    <t>101003003145</t>
  </si>
  <si>
    <t>导水板</t>
  </si>
  <si>
    <t>101003003314</t>
  </si>
  <si>
    <t>101003003148</t>
  </si>
  <si>
    <t>右板</t>
  </si>
  <si>
    <t>其他</t>
  </si>
  <si>
    <t>客户供</t>
  </si>
  <si>
    <t>生产自行焊接</t>
    <phoneticPr fontId="1" type="noConversion"/>
  </si>
  <si>
    <t>6</t>
    <phoneticPr fontId="1" type="noConversion"/>
  </si>
  <si>
    <t>6.1</t>
    <phoneticPr fontId="1" type="noConversion"/>
  </si>
  <si>
    <t>6.2</t>
    <phoneticPr fontId="1" type="noConversion"/>
  </si>
  <si>
    <t>6.3</t>
  </si>
  <si>
    <t>6.4</t>
  </si>
  <si>
    <t>6.5</t>
  </si>
  <si>
    <t>6.6</t>
  </si>
  <si>
    <t>6.7</t>
  </si>
  <si>
    <t>GB_T13681</t>
    <phoneticPr fontId="1" type="noConversion"/>
  </si>
  <si>
    <t>焊接六角螺母</t>
    <phoneticPr fontId="1" type="noConversion"/>
  </si>
  <si>
    <t>M6</t>
    <phoneticPr fontId="1" type="noConversion"/>
  </si>
  <si>
    <t>A2-70</t>
    <phoneticPr fontId="4" type="noConversion"/>
  </si>
  <si>
    <t>1201000026643</t>
    <phoneticPr fontId="1" type="noConversion"/>
  </si>
  <si>
    <t>1201000026640</t>
    <phoneticPr fontId="1" type="noConversion"/>
  </si>
  <si>
    <t>1201000026645</t>
    <phoneticPr fontId="1" type="noConversion"/>
  </si>
  <si>
    <t>1201000026642</t>
    <phoneticPr fontId="1" type="noConversion"/>
  </si>
  <si>
    <t>1201000026639</t>
    <phoneticPr fontId="1" type="noConversion"/>
  </si>
  <si>
    <t>1201000026644</t>
    <phoneticPr fontId="1" type="noConversion"/>
  </si>
  <si>
    <t>1201000026641</t>
    <phoneticPr fontId="1" type="noConversion"/>
  </si>
  <si>
    <t>1.1</t>
    <phoneticPr fontId="1" type="noConversion"/>
  </si>
  <si>
    <t>1.2</t>
    <phoneticPr fontId="1" type="noConversion"/>
  </si>
  <si>
    <t>1.3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</si>
</sst>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"/>
    <numFmt numFmtId="177" formatCode="0_ "/>
  </numFmts>
  <fonts count="29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b/>
      <sz val="11"/>
      <color rgb="FFFF0000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2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name val="等线"/>
      <family val="3"/>
      <charset val="134"/>
    </font>
    <font>
      <b/>
      <sz val="11"/>
      <color rgb="FFFF0000"/>
      <name val="等线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9" borderId="1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>
      <alignment vertical="center"/>
    </xf>
    <xf numFmtId="0" fontId="8" fillId="2" borderId="0" xfId="0" applyFont="1" applyFill="1">
      <alignment vertical="center"/>
    </xf>
    <xf numFmtId="0" fontId="25" fillId="2" borderId="1" xfId="0" applyFont="1" applyFill="1" applyBorder="1" applyAlignment="1">
      <alignment horizontal="center" vertical="center"/>
    </xf>
    <xf numFmtId="176" fontId="25" fillId="2" borderId="1" xfId="0" applyNumberFormat="1" applyFont="1" applyFill="1" applyBorder="1" applyAlignment="1">
      <alignment horizontal="center" vertical="center" shrinkToFit="1"/>
    </xf>
    <xf numFmtId="0" fontId="25" fillId="2" borderId="1" xfId="0" applyFont="1" applyFill="1" applyBorder="1" applyAlignment="1">
      <alignment horizontal="center" vertical="center" shrinkToFit="1"/>
    </xf>
    <xf numFmtId="0" fontId="5" fillId="2" borderId="0" xfId="0" applyFont="1" applyFill="1">
      <alignment vertical="center"/>
    </xf>
    <xf numFmtId="0" fontId="6" fillId="2" borderId="0" xfId="0" applyFont="1" applyFill="1" applyAlignment="1"/>
    <xf numFmtId="0" fontId="3" fillId="2" borderId="0" xfId="0" applyFont="1" applyFill="1" applyAlignment="1"/>
    <xf numFmtId="0" fontId="0" fillId="2" borderId="1" xfId="0" applyFill="1" applyBorder="1">
      <alignment vertical="center"/>
    </xf>
    <xf numFmtId="176" fontId="0" fillId="2" borderId="1" xfId="0" applyNumberFormat="1" applyFill="1" applyBorder="1" applyAlignment="1">
      <alignment vertical="center" shrinkToFit="1"/>
    </xf>
    <xf numFmtId="0" fontId="0" fillId="2" borderId="1" xfId="0" applyFill="1" applyBorder="1" applyAlignment="1">
      <alignment vertical="center" shrinkToFit="1"/>
    </xf>
    <xf numFmtId="176" fontId="0" fillId="2" borderId="0" xfId="0" applyNumberFormat="1" applyFill="1" applyAlignment="1">
      <alignment vertical="center" shrinkToFit="1"/>
    </xf>
    <xf numFmtId="0" fontId="0" fillId="2" borderId="0" xfId="0" applyFill="1" applyAlignment="1">
      <alignment vertical="center" shrinkToFit="1"/>
    </xf>
    <xf numFmtId="176" fontId="7" fillId="34" borderId="1" xfId="0" applyNumberFormat="1" applyFont="1" applyFill="1" applyBorder="1" applyAlignment="1">
      <alignment horizontal="center" vertical="center" shrinkToFit="1"/>
    </xf>
    <xf numFmtId="0" fontId="7" fillId="34" borderId="1" xfId="0" quotePrefix="1" applyFont="1" applyFill="1" applyBorder="1" applyAlignment="1">
      <alignment horizontal="center" vertical="center" shrinkToFit="1"/>
    </xf>
    <xf numFmtId="0" fontId="7" fillId="34" borderId="1" xfId="0" applyFont="1" applyFill="1" applyBorder="1" applyAlignment="1">
      <alignment horizontal="center" vertical="center" shrinkToFit="1"/>
    </xf>
    <xf numFmtId="0" fontId="3" fillId="34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15" xfId="43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43" applyFont="1" applyFill="1" applyBorder="1" applyAlignment="1">
      <alignment horizontal="center" vertical="center" wrapText="1"/>
    </xf>
    <xf numFmtId="0" fontId="7" fillId="34" borderId="1" xfId="0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0" fontId="6" fillId="2" borderId="1" xfId="0" quotePrefix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vertical="center" shrinkToFit="1"/>
    </xf>
    <xf numFmtId="176" fontId="6" fillId="2" borderId="1" xfId="0" applyNumberFormat="1" applyFont="1" applyFill="1" applyBorder="1" applyAlignment="1">
      <alignment horizontal="center" vertical="center" shrinkToFit="1"/>
    </xf>
    <xf numFmtId="49" fontId="3" fillId="2" borderId="1" xfId="0" applyNumberFormat="1" applyFont="1" applyFill="1" applyBorder="1" applyAlignment="1">
      <alignment horizontal="center" vertical="center" shrinkToFit="1"/>
    </xf>
    <xf numFmtId="49" fontId="7" fillId="2" borderId="1" xfId="0" quotePrefix="1" applyNumberFormat="1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vertical="center" shrinkToFit="1"/>
    </xf>
    <xf numFmtId="49" fontId="7" fillId="2" borderId="1" xfId="0" applyNumberFormat="1" applyFont="1" applyFill="1" applyBorder="1" applyAlignment="1">
      <alignment horizontal="right" vertical="center" shrinkToFit="1"/>
    </xf>
    <xf numFmtId="49" fontId="7" fillId="2" borderId="1" xfId="0" applyNumberFormat="1" applyFont="1" applyFill="1" applyBorder="1" applyAlignment="1">
      <alignment horizontal="center" vertical="center" shrinkToFit="1"/>
    </xf>
    <xf numFmtId="177" fontId="6" fillId="2" borderId="1" xfId="0" applyNumberFormat="1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49" fontId="7" fillId="2" borderId="4" xfId="1" applyNumberFormat="1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49" fontId="7" fillId="2" borderId="1" xfId="1" applyNumberFormat="1" applyFont="1" applyFill="1" applyBorder="1" applyAlignment="1">
      <alignment horizontal="center" vertical="center" shrinkToFit="1"/>
    </xf>
    <xf numFmtId="177" fontId="3" fillId="2" borderId="2" xfId="0" applyNumberFormat="1" applyFont="1" applyFill="1" applyBorder="1" applyAlignment="1">
      <alignment horizontal="center" vertical="center" shrinkToFit="1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 shrinkToFit="1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 shrinkToFit="1"/>
    </xf>
    <xf numFmtId="0" fontId="7" fillId="2" borderId="1" xfId="0" applyFont="1" applyFill="1" applyBorder="1">
      <alignment vertical="center"/>
    </xf>
    <xf numFmtId="0" fontId="7" fillId="2" borderId="1" xfId="0" quotePrefix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vertical="center" shrinkToFit="1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28" fillId="2" borderId="0" xfId="0" applyFont="1" applyFill="1" applyAlignment="1"/>
    <xf numFmtId="176" fontId="7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 applyProtection="1">
      <alignment horizontal="center" vertical="center" wrapText="1"/>
      <protection locked="0"/>
    </xf>
    <xf numFmtId="0" fontId="27" fillId="2" borderId="0" xfId="0" applyFont="1" applyFill="1" applyAlignment="1"/>
  </cellXfs>
  <cellStyles count="44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常规 6 11" xfId="43" xr:uid="{670B8264-AB37-46FD-96CF-C15A50173CB1}"/>
    <cellStyle name="常规 76" xfId="1" xr:uid="{6DBAA849-99E2-432D-96E5-D257C52C11C9}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适中" xfId="9" builtinId="28" customBuiltin="1"/>
    <cellStyle name="输出" xfId="11" builtinId="21" customBuiltin="1"/>
    <cellStyle name="输入" xfId="10" builtinId="2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注释" xfId="16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</xdr:colOff>
      <xdr:row>43</xdr:row>
      <xdr:rowOff>0</xdr:rowOff>
    </xdr:from>
    <xdr:to>
      <xdr:col>10</xdr:col>
      <xdr:colOff>405342</xdr:colOff>
      <xdr:row>45</xdr:row>
      <xdr:rowOff>72840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C864CF7D-42DD-4C16-8770-3E824F3AB237}"/>
            </a:ext>
          </a:extLst>
        </xdr:cNvPr>
        <xdr:cNvSpPr txBox="1">
          <a:spLocks noChangeArrowheads="1"/>
        </xdr:cNvSpPr>
      </xdr:nvSpPr>
      <xdr:spPr bwMode="auto">
        <a:xfrm>
          <a:off x="6753225" y="3609975"/>
          <a:ext cx="376767" cy="66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01EF-42A2-4C02-BF96-D5276E3EDC51}">
  <dimension ref="A1:K66"/>
  <sheetViews>
    <sheetView tabSelected="1" workbookViewId="0">
      <pane xSplit="11" ySplit="1" topLeftCell="L2" activePane="bottomRight" state="frozen"/>
      <selection pane="topRight" activeCell="L1" sqref="L1"/>
      <selection pane="bottomLeft" activeCell="A4" sqref="A4"/>
      <selection pane="bottomRight" sqref="A1:XFD2"/>
    </sheetView>
  </sheetViews>
  <sheetFormatPr defaultRowHeight="14.25"/>
  <cols>
    <col min="1" max="1" width="6" style="1" customWidth="1"/>
    <col min="2" max="2" width="15.875" style="12" customWidth="1"/>
    <col min="3" max="3" width="15.25" style="12" customWidth="1"/>
    <col min="4" max="4" width="13.75" style="13" customWidth="1"/>
    <col min="5" max="5" width="6.5" style="13" customWidth="1"/>
    <col min="6" max="7" width="0" style="13" hidden="1" customWidth="1"/>
    <col min="8" max="8" width="9" style="13"/>
    <col min="9" max="9" width="5.5" style="13" customWidth="1"/>
    <col min="10" max="10" width="7.25" style="13" customWidth="1"/>
    <col min="11" max="11" width="19.75" style="13" customWidth="1"/>
    <col min="12" max="16384" width="9" style="1"/>
  </cols>
  <sheetData>
    <row r="1" spans="1:11" ht="20.100000000000001" customHeight="1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9</v>
      </c>
      <c r="G1" s="5" t="s">
        <v>10</v>
      </c>
      <c r="H1" s="5" t="s">
        <v>5</v>
      </c>
      <c r="I1" s="5" t="s">
        <v>6</v>
      </c>
      <c r="J1" s="5" t="s">
        <v>7</v>
      </c>
      <c r="K1" s="5" t="s">
        <v>8</v>
      </c>
    </row>
    <row r="2" spans="1:11" s="6" customFormat="1" ht="20.100000000000001" customHeight="1">
      <c r="A2" s="26" t="s">
        <v>30</v>
      </c>
      <c r="B2" s="27"/>
      <c r="C2" s="28" t="s">
        <v>14</v>
      </c>
      <c r="D2" s="29" t="s">
        <v>11</v>
      </c>
      <c r="E2" s="29" t="s">
        <v>15</v>
      </c>
      <c r="F2" s="29"/>
      <c r="G2" s="30"/>
      <c r="H2" s="29" t="s">
        <v>15</v>
      </c>
      <c r="I2" s="29">
        <v>1</v>
      </c>
      <c r="J2" s="29">
        <v>1</v>
      </c>
      <c r="K2" s="31">
        <v>250501</v>
      </c>
    </row>
    <row r="3" spans="1:11" s="6" customFormat="1" ht="20.100000000000001" customHeight="1">
      <c r="A3" s="32" t="s">
        <v>138</v>
      </c>
      <c r="B3" s="27"/>
      <c r="C3" s="33" t="s">
        <v>16</v>
      </c>
      <c r="D3" s="34" t="s">
        <v>17</v>
      </c>
      <c r="E3" s="34" t="s">
        <v>18</v>
      </c>
      <c r="F3" s="34"/>
      <c r="G3" s="35"/>
      <c r="H3" s="34" t="s">
        <v>19</v>
      </c>
      <c r="I3" s="34">
        <v>1</v>
      </c>
      <c r="J3" s="34">
        <v>1</v>
      </c>
      <c r="K3" s="27"/>
    </row>
    <row r="4" spans="1:11" s="6" customFormat="1" ht="20.100000000000001" customHeight="1">
      <c r="A4" s="32" t="s">
        <v>139</v>
      </c>
      <c r="B4" s="27"/>
      <c r="C4" s="33" t="s">
        <v>20</v>
      </c>
      <c r="D4" s="34" t="s">
        <v>21</v>
      </c>
      <c r="E4" s="34" t="s">
        <v>22</v>
      </c>
      <c r="F4" s="34"/>
      <c r="G4" s="35"/>
      <c r="H4" s="34" t="s">
        <v>19</v>
      </c>
      <c r="I4" s="34">
        <v>1</v>
      </c>
      <c r="J4" s="34">
        <v>1</v>
      </c>
      <c r="K4" s="27"/>
    </row>
    <row r="5" spans="1:11" s="6" customFormat="1" ht="20.100000000000001" customHeight="1">
      <c r="A5" s="32" t="s">
        <v>140</v>
      </c>
      <c r="B5" s="27"/>
      <c r="C5" s="36" t="s">
        <v>23</v>
      </c>
      <c r="D5" s="34" t="s">
        <v>24</v>
      </c>
      <c r="E5" s="34" t="s">
        <v>15</v>
      </c>
      <c r="F5" s="34"/>
      <c r="G5" s="35"/>
      <c r="H5" s="34" t="s">
        <v>15</v>
      </c>
      <c r="I5" s="34">
        <v>1</v>
      </c>
      <c r="J5" s="34">
        <v>1</v>
      </c>
      <c r="K5" s="27"/>
    </row>
    <row r="6" spans="1:11" s="6" customFormat="1" ht="20.100000000000001" customHeight="1">
      <c r="A6" s="32"/>
      <c r="B6" s="27"/>
      <c r="C6" s="37" t="s">
        <v>25</v>
      </c>
      <c r="D6" s="34" t="s">
        <v>26</v>
      </c>
      <c r="E6" s="34" t="s">
        <v>27</v>
      </c>
      <c r="F6" s="34"/>
      <c r="G6" s="35"/>
      <c r="H6" s="34" t="s">
        <v>19</v>
      </c>
      <c r="I6" s="34">
        <v>1</v>
      </c>
      <c r="J6" s="34">
        <v>1</v>
      </c>
      <c r="K6" s="27"/>
    </row>
    <row r="7" spans="1:11" s="6" customFormat="1" ht="20.100000000000001" customHeight="1">
      <c r="A7" s="32"/>
      <c r="B7" s="27"/>
      <c r="C7" s="37" t="s">
        <v>28</v>
      </c>
      <c r="D7" s="34" t="s">
        <v>29</v>
      </c>
      <c r="E7" s="34" t="s">
        <v>27</v>
      </c>
      <c r="F7" s="34"/>
      <c r="G7" s="35"/>
      <c r="H7" s="34" t="s">
        <v>19</v>
      </c>
      <c r="I7" s="34">
        <v>1</v>
      </c>
      <c r="J7" s="34">
        <v>1</v>
      </c>
      <c r="K7" s="27"/>
    </row>
    <row r="8" spans="1:11" s="7" customFormat="1" ht="20.100000000000001" customHeight="1">
      <c r="A8" s="29">
        <v>2</v>
      </c>
      <c r="B8" s="26" t="s">
        <v>31</v>
      </c>
      <c r="C8" s="38">
        <v>101004008335</v>
      </c>
      <c r="D8" s="39" t="s">
        <v>12</v>
      </c>
      <c r="E8" s="40" t="s">
        <v>32</v>
      </c>
      <c r="F8" s="40"/>
      <c r="G8" s="40"/>
      <c r="H8" s="40" t="s">
        <v>32</v>
      </c>
      <c r="I8" s="41">
        <v>1</v>
      </c>
      <c r="J8" s="41">
        <v>1</v>
      </c>
      <c r="K8" s="40">
        <v>20241102</v>
      </c>
    </row>
    <row r="9" spans="1:11" s="8" customFormat="1" ht="20.100000000000001" customHeight="1">
      <c r="A9" s="42">
        <v>2.1</v>
      </c>
      <c r="B9" s="43" t="s">
        <v>33</v>
      </c>
      <c r="C9" s="43" t="s">
        <v>34</v>
      </c>
      <c r="D9" s="44" t="s">
        <v>35</v>
      </c>
      <c r="E9" s="44" t="s">
        <v>32</v>
      </c>
      <c r="F9" s="44"/>
      <c r="G9" s="44"/>
      <c r="H9" s="44" t="s">
        <v>32</v>
      </c>
      <c r="I9" s="45">
        <v>1</v>
      </c>
      <c r="J9" s="45">
        <v>1</v>
      </c>
      <c r="K9" s="34"/>
    </row>
    <row r="10" spans="1:11" s="8" customFormat="1" ht="20.100000000000001" customHeight="1">
      <c r="A10" s="34"/>
      <c r="B10" s="46" t="s">
        <v>36</v>
      </c>
      <c r="C10" s="46" t="s">
        <v>37</v>
      </c>
      <c r="D10" s="19" t="s">
        <v>38</v>
      </c>
      <c r="E10" s="19" t="s">
        <v>39</v>
      </c>
      <c r="F10" s="19"/>
      <c r="G10" s="19"/>
      <c r="H10" s="19" t="s">
        <v>19</v>
      </c>
      <c r="I10" s="19">
        <v>2</v>
      </c>
      <c r="J10" s="19">
        <v>2</v>
      </c>
      <c r="K10" s="34"/>
    </row>
    <row r="11" spans="1:11" s="8" customFormat="1" ht="20.100000000000001" customHeight="1">
      <c r="A11" s="34"/>
      <c r="B11" s="46" t="s">
        <v>40</v>
      </c>
      <c r="C11" s="46" t="s">
        <v>41</v>
      </c>
      <c r="D11" s="19" t="s">
        <v>38</v>
      </c>
      <c r="E11" s="19" t="s">
        <v>39</v>
      </c>
      <c r="F11" s="19"/>
      <c r="G11" s="19"/>
      <c r="H11" s="19" t="s">
        <v>19</v>
      </c>
      <c r="I11" s="19">
        <v>2</v>
      </c>
      <c r="J11" s="19">
        <v>2</v>
      </c>
      <c r="K11" s="34"/>
    </row>
    <row r="12" spans="1:11" s="8" customFormat="1" ht="20.100000000000001" customHeight="1">
      <c r="A12" s="34">
        <v>2.2000000000000002</v>
      </c>
      <c r="B12" s="37" t="s">
        <v>42</v>
      </c>
      <c r="C12" s="47">
        <v>101004003394</v>
      </c>
      <c r="D12" s="19" t="s">
        <v>38</v>
      </c>
      <c r="E12" s="19" t="s">
        <v>43</v>
      </c>
      <c r="F12" s="19"/>
      <c r="G12" s="19"/>
      <c r="H12" s="19" t="s">
        <v>44</v>
      </c>
      <c r="I12" s="19">
        <v>1</v>
      </c>
      <c r="J12" s="19">
        <v>1</v>
      </c>
      <c r="K12" s="34"/>
    </row>
    <row r="13" spans="1:11" s="8" customFormat="1" ht="20.100000000000001" customHeight="1">
      <c r="A13" s="34">
        <v>2.2999999999999998</v>
      </c>
      <c r="B13" s="37" t="s">
        <v>45</v>
      </c>
      <c r="C13" s="47">
        <v>101004003395</v>
      </c>
      <c r="D13" s="19" t="s">
        <v>38</v>
      </c>
      <c r="E13" s="19" t="s">
        <v>43</v>
      </c>
      <c r="F13" s="19"/>
      <c r="G13" s="19"/>
      <c r="H13" s="19" t="s">
        <v>19</v>
      </c>
      <c r="I13" s="19">
        <v>1</v>
      </c>
      <c r="J13" s="19">
        <v>1</v>
      </c>
      <c r="K13" s="34"/>
    </row>
    <row r="14" spans="1:11" s="8" customFormat="1" ht="20.100000000000001" customHeight="1">
      <c r="A14" s="34">
        <v>2.4</v>
      </c>
      <c r="B14" s="37" t="s">
        <v>46</v>
      </c>
      <c r="C14" s="47">
        <v>101004003396</v>
      </c>
      <c r="D14" s="19" t="s">
        <v>47</v>
      </c>
      <c r="E14" s="19" t="s">
        <v>48</v>
      </c>
      <c r="F14" s="19"/>
      <c r="G14" s="19"/>
      <c r="H14" s="19" t="s">
        <v>19</v>
      </c>
      <c r="I14" s="19">
        <v>1</v>
      </c>
      <c r="J14" s="19">
        <v>1</v>
      </c>
      <c r="K14" s="34" t="s">
        <v>49</v>
      </c>
    </row>
    <row r="15" spans="1:11" s="8" customFormat="1" ht="20.100000000000001" customHeight="1">
      <c r="A15" s="34">
        <v>2.5</v>
      </c>
      <c r="B15" s="37" t="s">
        <v>50</v>
      </c>
      <c r="C15" s="47">
        <v>101004008336</v>
      </c>
      <c r="D15" s="19" t="s">
        <v>51</v>
      </c>
      <c r="E15" s="19" t="s">
        <v>43</v>
      </c>
      <c r="F15" s="19"/>
      <c r="G15" s="19"/>
      <c r="H15" s="19" t="s">
        <v>19</v>
      </c>
      <c r="I15" s="19">
        <v>1</v>
      </c>
      <c r="J15" s="19">
        <v>1</v>
      </c>
      <c r="K15" s="34"/>
    </row>
    <row r="16" spans="1:11" s="2" customFormat="1" ht="20.100000000000001" customHeight="1">
      <c r="A16" s="48" t="s">
        <v>73</v>
      </c>
      <c r="B16" s="49" t="s">
        <v>58</v>
      </c>
      <c r="C16" s="49" t="s">
        <v>59</v>
      </c>
      <c r="D16" s="49" t="s">
        <v>13</v>
      </c>
      <c r="E16" s="29" t="s">
        <v>15</v>
      </c>
      <c r="F16" s="29"/>
      <c r="G16" s="29"/>
      <c r="H16" s="29" t="s">
        <v>15</v>
      </c>
      <c r="I16" s="49" t="s">
        <v>57</v>
      </c>
      <c r="J16" s="40">
        <v>1</v>
      </c>
      <c r="K16" s="40"/>
    </row>
    <row r="17" spans="1:11" ht="20.100000000000001" customHeight="1">
      <c r="A17" s="50" t="s">
        <v>74</v>
      </c>
      <c r="B17" s="51" t="s">
        <v>83</v>
      </c>
      <c r="C17" s="51" t="s">
        <v>65</v>
      </c>
      <c r="D17" s="51" t="s">
        <v>55</v>
      </c>
      <c r="E17" s="42" t="s">
        <v>72</v>
      </c>
      <c r="F17" s="42"/>
      <c r="G17" s="42"/>
      <c r="H17" s="42" t="s">
        <v>72</v>
      </c>
      <c r="I17" s="51" t="s">
        <v>57</v>
      </c>
      <c r="J17" s="51" t="s">
        <v>57</v>
      </c>
      <c r="K17" s="42"/>
    </row>
    <row r="18" spans="1:11" ht="20.100000000000001" customHeight="1">
      <c r="A18" s="50"/>
      <c r="B18" s="51" t="s">
        <v>84</v>
      </c>
      <c r="C18" s="51" t="s">
        <v>66</v>
      </c>
      <c r="D18" s="51" t="s">
        <v>67</v>
      </c>
      <c r="E18" s="51" t="s">
        <v>22</v>
      </c>
      <c r="F18" s="42"/>
      <c r="G18" s="42"/>
      <c r="H18" s="51" t="s">
        <v>19</v>
      </c>
      <c r="I18" s="51" t="s">
        <v>71</v>
      </c>
      <c r="J18" s="42">
        <v>2</v>
      </c>
      <c r="K18" s="42"/>
    </row>
    <row r="19" spans="1:11" ht="20.100000000000001" customHeight="1">
      <c r="A19" s="50"/>
      <c r="B19" s="51" t="s">
        <v>85</v>
      </c>
      <c r="C19" s="51" t="s">
        <v>68</v>
      </c>
      <c r="D19" s="51" t="s">
        <v>67</v>
      </c>
      <c r="E19" s="51" t="s">
        <v>22</v>
      </c>
      <c r="F19" s="42"/>
      <c r="G19" s="42"/>
      <c r="H19" s="51" t="s">
        <v>19</v>
      </c>
      <c r="I19" s="51" t="s">
        <v>71</v>
      </c>
      <c r="J19" s="42">
        <v>2</v>
      </c>
      <c r="K19" s="42"/>
    </row>
    <row r="20" spans="1:11" ht="20.100000000000001" customHeight="1">
      <c r="A20" s="50" t="s">
        <v>75</v>
      </c>
      <c r="B20" s="51" t="s">
        <v>80</v>
      </c>
      <c r="C20" s="51" t="s">
        <v>60</v>
      </c>
      <c r="D20" s="51" t="s">
        <v>61</v>
      </c>
      <c r="E20" s="42" t="s">
        <v>72</v>
      </c>
      <c r="F20" s="42"/>
      <c r="G20" s="42"/>
      <c r="H20" s="42" t="s">
        <v>72</v>
      </c>
      <c r="I20" s="51" t="s">
        <v>57</v>
      </c>
      <c r="J20" s="51" t="s">
        <v>57</v>
      </c>
      <c r="K20" s="42"/>
    </row>
    <row r="21" spans="1:11" ht="20.100000000000001" customHeight="1">
      <c r="A21" s="50"/>
      <c r="B21" s="51" t="s">
        <v>81</v>
      </c>
      <c r="C21" s="51" t="s">
        <v>62</v>
      </c>
      <c r="D21" s="51" t="s">
        <v>63</v>
      </c>
      <c r="E21" s="51" t="s">
        <v>18</v>
      </c>
      <c r="F21" s="42"/>
      <c r="G21" s="42"/>
      <c r="H21" s="51" t="s">
        <v>70</v>
      </c>
      <c r="I21" s="51" t="s">
        <v>71</v>
      </c>
      <c r="J21" s="44">
        <v>2</v>
      </c>
      <c r="K21" s="42"/>
    </row>
    <row r="22" spans="1:11" ht="20.100000000000001" customHeight="1">
      <c r="A22" s="50" t="s">
        <v>76</v>
      </c>
      <c r="B22" s="51" t="s">
        <v>82</v>
      </c>
      <c r="C22" s="51" t="s">
        <v>64</v>
      </c>
      <c r="D22" s="51" t="s">
        <v>17</v>
      </c>
      <c r="E22" s="51" t="s">
        <v>27</v>
      </c>
      <c r="F22" s="42"/>
      <c r="G22" s="42"/>
      <c r="H22" s="51" t="s">
        <v>70</v>
      </c>
      <c r="I22" s="51" t="s">
        <v>57</v>
      </c>
      <c r="J22" s="51" t="s">
        <v>57</v>
      </c>
      <c r="K22" s="42"/>
    </row>
    <row r="23" spans="1:11" ht="20.100000000000001" customHeight="1">
      <c r="A23" s="50" t="s">
        <v>77</v>
      </c>
      <c r="B23" s="51" t="s">
        <v>86</v>
      </c>
      <c r="C23" s="51" t="s">
        <v>69</v>
      </c>
      <c r="D23" s="51" t="s">
        <v>17</v>
      </c>
      <c r="E23" s="51" t="s">
        <v>27</v>
      </c>
      <c r="F23" s="42"/>
      <c r="G23" s="42"/>
      <c r="H23" s="51" t="s">
        <v>70</v>
      </c>
      <c r="I23" s="51" t="s">
        <v>57</v>
      </c>
      <c r="J23" s="51" t="s">
        <v>57</v>
      </c>
      <c r="K23" s="42"/>
    </row>
    <row r="24" spans="1:11" ht="20.100000000000001" customHeight="1">
      <c r="A24" s="50" t="s">
        <v>78</v>
      </c>
      <c r="B24" s="51" t="s">
        <v>79</v>
      </c>
      <c r="C24" s="51" t="s">
        <v>54</v>
      </c>
      <c r="D24" s="51" t="s">
        <v>55</v>
      </c>
      <c r="E24" s="51" t="s">
        <v>18</v>
      </c>
      <c r="F24" s="42"/>
      <c r="G24" s="42"/>
      <c r="H24" s="51" t="s">
        <v>19</v>
      </c>
      <c r="I24" s="51" t="s">
        <v>57</v>
      </c>
      <c r="J24" s="51" t="s">
        <v>57</v>
      </c>
      <c r="K24" s="42" t="s">
        <v>88</v>
      </c>
    </row>
    <row r="25" spans="1:11" ht="20.100000000000001" customHeight="1">
      <c r="A25" s="23">
        <v>4</v>
      </c>
      <c r="B25" s="31"/>
      <c r="C25" s="28" t="s">
        <v>52</v>
      </c>
      <c r="D25" s="29" t="s">
        <v>53</v>
      </c>
      <c r="E25" s="29" t="s">
        <v>15</v>
      </c>
      <c r="F25" s="29"/>
      <c r="G25" s="29"/>
      <c r="H25" s="29" t="s">
        <v>15</v>
      </c>
      <c r="I25" s="29">
        <v>1</v>
      </c>
      <c r="J25" s="29">
        <v>1</v>
      </c>
      <c r="K25" s="29">
        <v>20230217</v>
      </c>
    </row>
    <row r="26" spans="1:11" ht="20.100000000000001" customHeight="1">
      <c r="A26" s="25"/>
      <c r="B26" s="14">
        <v>1303000026494</v>
      </c>
      <c r="C26" s="15" t="s">
        <v>54</v>
      </c>
      <c r="D26" s="16" t="s">
        <v>55</v>
      </c>
      <c r="E26" s="16" t="s">
        <v>18</v>
      </c>
      <c r="F26" s="16"/>
      <c r="G26" s="16"/>
      <c r="H26" s="16" t="s">
        <v>44</v>
      </c>
      <c r="I26" s="17">
        <v>1</v>
      </c>
      <c r="J26" s="17"/>
      <c r="K26" s="17" t="s">
        <v>87</v>
      </c>
    </row>
    <row r="27" spans="1:11" ht="20.100000000000001" customHeight="1">
      <c r="A27" s="52"/>
      <c r="B27" s="54"/>
      <c r="C27" s="53" t="s">
        <v>56</v>
      </c>
      <c r="D27" s="34" t="s">
        <v>17</v>
      </c>
      <c r="E27" s="34" t="s">
        <v>27</v>
      </c>
      <c r="F27" s="34"/>
      <c r="G27" s="34"/>
      <c r="H27" s="34" t="s">
        <v>44</v>
      </c>
      <c r="I27" s="19">
        <v>1</v>
      </c>
      <c r="J27" s="19">
        <v>1</v>
      </c>
      <c r="K27" s="19"/>
    </row>
    <row r="28" spans="1:11" ht="20.100000000000001" customHeight="1">
      <c r="A28" s="52"/>
      <c r="B28" s="27">
        <v>1202020005700</v>
      </c>
      <c r="C28" s="34" t="s">
        <v>127</v>
      </c>
      <c r="D28" s="34" t="s">
        <v>128</v>
      </c>
      <c r="E28" s="34" t="s">
        <v>129</v>
      </c>
      <c r="F28" s="34"/>
      <c r="G28" s="34"/>
      <c r="H28" s="34" t="s">
        <v>130</v>
      </c>
      <c r="I28" s="19">
        <v>6</v>
      </c>
      <c r="J28" s="19">
        <v>6</v>
      </c>
      <c r="K28" s="19" t="s">
        <v>89</v>
      </c>
    </row>
    <row r="29" spans="1:11" s="2" customFormat="1" ht="20.100000000000001" customHeight="1">
      <c r="A29" s="55" t="s">
        <v>119</v>
      </c>
      <c r="B29" s="55" t="s">
        <v>102</v>
      </c>
      <c r="C29" s="55" t="s">
        <v>103</v>
      </c>
      <c r="D29" s="55" t="s">
        <v>90</v>
      </c>
      <c r="E29" s="56" t="s">
        <v>15</v>
      </c>
      <c r="F29" s="56"/>
      <c r="G29" s="56"/>
      <c r="H29" s="23" t="s">
        <v>15</v>
      </c>
      <c r="I29" s="55" t="s">
        <v>57</v>
      </c>
      <c r="J29" s="55" t="s">
        <v>57</v>
      </c>
      <c r="K29" s="23" t="s">
        <v>118</v>
      </c>
    </row>
    <row r="30" spans="1:11" ht="20.100000000000001" customHeight="1">
      <c r="A30" s="57" t="s">
        <v>120</v>
      </c>
      <c r="B30" s="57" t="s">
        <v>131</v>
      </c>
      <c r="C30" s="57" t="s">
        <v>104</v>
      </c>
      <c r="D30" s="57" t="s">
        <v>105</v>
      </c>
      <c r="E30" s="57" t="s">
        <v>116</v>
      </c>
      <c r="F30" s="34"/>
      <c r="G30" s="34"/>
      <c r="H30" s="57" t="s">
        <v>116</v>
      </c>
      <c r="I30" s="57" t="s">
        <v>57</v>
      </c>
      <c r="J30" s="57" t="s">
        <v>57</v>
      </c>
      <c r="K30" s="57" t="s">
        <v>117</v>
      </c>
    </row>
    <row r="31" spans="1:11" ht="20.100000000000001" customHeight="1">
      <c r="A31" s="57" t="s">
        <v>121</v>
      </c>
      <c r="B31" s="57" t="s">
        <v>132</v>
      </c>
      <c r="C31" s="57" t="s">
        <v>106</v>
      </c>
      <c r="D31" s="57" t="s">
        <v>107</v>
      </c>
      <c r="E31" s="57" t="s">
        <v>116</v>
      </c>
      <c r="F31" s="34"/>
      <c r="G31" s="34"/>
      <c r="H31" s="57" t="s">
        <v>116</v>
      </c>
      <c r="I31" s="57" t="s">
        <v>57</v>
      </c>
      <c r="J31" s="57" t="s">
        <v>57</v>
      </c>
      <c r="K31" s="57" t="s">
        <v>117</v>
      </c>
    </row>
    <row r="32" spans="1:11" ht="20.100000000000001" customHeight="1">
      <c r="A32" s="57" t="s">
        <v>122</v>
      </c>
      <c r="B32" s="57" t="s">
        <v>133</v>
      </c>
      <c r="C32" s="57" t="s">
        <v>108</v>
      </c>
      <c r="D32" s="57" t="s">
        <v>67</v>
      </c>
      <c r="E32" s="57" t="s">
        <v>116</v>
      </c>
      <c r="F32" s="34"/>
      <c r="G32" s="34"/>
      <c r="H32" s="57" t="s">
        <v>116</v>
      </c>
      <c r="I32" s="57" t="s">
        <v>57</v>
      </c>
      <c r="J32" s="57" t="s">
        <v>57</v>
      </c>
      <c r="K32" s="57" t="s">
        <v>117</v>
      </c>
    </row>
    <row r="33" spans="1:11" ht="20.100000000000001" customHeight="1">
      <c r="A33" s="57" t="s">
        <v>123</v>
      </c>
      <c r="B33" s="57" t="s">
        <v>134</v>
      </c>
      <c r="C33" s="57" t="s">
        <v>109</v>
      </c>
      <c r="D33" s="57" t="s">
        <v>110</v>
      </c>
      <c r="E33" s="57" t="s">
        <v>116</v>
      </c>
      <c r="F33" s="34"/>
      <c r="G33" s="34"/>
      <c r="H33" s="57" t="s">
        <v>116</v>
      </c>
      <c r="I33" s="57" t="s">
        <v>57</v>
      </c>
      <c r="J33" s="57" t="s">
        <v>57</v>
      </c>
      <c r="K33" s="57" t="s">
        <v>117</v>
      </c>
    </row>
    <row r="34" spans="1:11" ht="20.100000000000001" customHeight="1">
      <c r="A34" s="57" t="s">
        <v>124</v>
      </c>
      <c r="B34" s="57" t="s">
        <v>135</v>
      </c>
      <c r="C34" s="57" t="s">
        <v>111</v>
      </c>
      <c r="D34" s="57" t="s">
        <v>112</v>
      </c>
      <c r="E34" s="57" t="s">
        <v>116</v>
      </c>
      <c r="F34" s="34"/>
      <c r="G34" s="34"/>
      <c r="H34" s="57" t="s">
        <v>116</v>
      </c>
      <c r="I34" s="57" t="s">
        <v>71</v>
      </c>
      <c r="J34" s="57" t="s">
        <v>71</v>
      </c>
      <c r="K34" s="57" t="s">
        <v>117</v>
      </c>
    </row>
    <row r="35" spans="1:11" ht="20.100000000000001" customHeight="1">
      <c r="A35" s="57" t="s">
        <v>125</v>
      </c>
      <c r="B35" s="57" t="s">
        <v>136</v>
      </c>
      <c r="C35" s="57" t="s">
        <v>113</v>
      </c>
      <c r="D35" s="57" t="s">
        <v>63</v>
      </c>
      <c r="E35" s="57" t="s">
        <v>116</v>
      </c>
      <c r="F35" s="34"/>
      <c r="G35" s="34"/>
      <c r="H35" s="57" t="s">
        <v>116</v>
      </c>
      <c r="I35" s="57" t="s">
        <v>57</v>
      </c>
      <c r="J35" s="57" t="s">
        <v>57</v>
      </c>
      <c r="K35" s="57" t="s">
        <v>117</v>
      </c>
    </row>
    <row r="36" spans="1:11" ht="20.100000000000001" customHeight="1">
      <c r="A36" s="57" t="s">
        <v>126</v>
      </c>
      <c r="B36" s="57" t="s">
        <v>137</v>
      </c>
      <c r="C36" s="57" t="s">
        <v>114</v>
      </c>
      <c r="D36" s="57" t="s">
        <v>115</v>
      </c>
      <c r="E36" s="57" t="s">
        <v>116</v>
      </c>
      <c r="F36" s="34"/>
      <c r="G36" s="34"/>
      <c r="H36" s="57" t="s">
        <v>116</v>
      </c>
      <c r="I36" s="57" t="s">
        <v>57</v>
      </c>
      <c r="J36" s="57" t="s">
        <v>57</v>
      </c>
      <c r="K36" s="57" t="s">
        <v>117</v>
      </c>
    </row>
    <row r="37" spans="1:11" ht="20.100000000000001" customHeight="1">
      <c r="A37" s="21">
        <v>161</v>
      </c>
      <c r="B37" s="58">
        <v>1303000017623</v>
      </c>
      <c r="C37" s="59">
        <v>101002010362</v>
      </c>
      <c r="D37" s="56" t="s">
        <v>91</v>
      </c>
      <c r="E37" s="56" t="s">
        <v>22</v>
      </c>
      <c r="F37" s="56"/>
      <c r="G37" s="56"/>
      <c r="H37" s="29" t="s">
        <v>19</v>
      </c>
      <c r="I37" s="23">
        <v>1</v>
      </c>
      <c r="J37" s="22">
        <v>13</v>
      </c>
      <c r="K37" s="21">
        <v>250923</v>
      </c>
    </row>
    <row r="38" spans="1:11" ht="20.100000000000001" customHeight="1">
      <c r="A38" s="23">
        <v>162</v>
      </c>
      <c r="B38" s="58">
        <v>1303000017625</v>
      </c>
      <c r="C38" s="59">
        <v>101002010363</v>
      </c>
      <c r="D38" s="56" t="s">
        <v>91</v>
      </c>
      <c r="E38" s="56" t="s">
        <v>22</v>
      </c>
      <c r="F38" s="56"/>
      <c r="G38" s="56"/>
      <c r="H38" s="29" t="s">
        <v>19</v>
      </c>
      <c r="I38" s="23">
        <v>1</v>
      </c>
      <c r="J38" s="24">
        <v>13</v>
      </c>
      <c r="K38" s="23">
        <v>250923</v>
      </c>
    </row>
    <row r="39" spans="1:11" s="61" customFormat="1" ht="20.100000000000001" customHeight="1">
      <c r="A39" s="23">
        <v>163</v>
      </c>
      <c r="B39" s="58">
        <v>1303000020416</v>
      </c>
      <c r="C39" s="59">
        <v>101002010379</v>
      </c>
      <c r="D39" s="56" t="s">
        <v>92</v>
      </c>
      <c r="E39" s="56" t="s">
        <v>15</v>
      </c>
      <c r="F39" s="56"/>
      <c r="G39" s="56"/>
      <c r="H39" s="29" t="s">
        <v>15</v>
      </c>
      <c r="I39" s="23">
        <v>1</v>
      </c>
      <c r="J39" s="60">
        <v>3</v>
      </c>
      <c r="K39" s="58">
        <v>250923</v>
      </c>
    </row>
    <row r="40" spans="1:11" s="66" customFormat="1" ht="20.100000000000001" customHeight="1">
      <c r="A40" s="18"/>
      <c r="B40" s="62">
        <v>1303000020417</v>
      </c>
      <c r="C40" s="63" t="s">
        <v>94</v>
      </c>
      <c r="D40" s="20" t="s">
        <v>92</v>
      </c>
      <c r="E40" s="64" t="s">
        <v>95</v>
      </c>
      <c r="F40" s="64"/>
      <c r="G40" s="64"/>
      <c r="H40" s="51" t="s">
        <v>19</v>
      </c>
      <c r="I40" s="18">
        <v>1</v>
      </c>
      <c r="J40" s="65">
        <f>I40*3</f>
        <v>3</v>
      </c>
      <c r="K40" s="62"/>
    </row>
    <row r="41" spans="1:11" s="66" customFormat="1" ht="20.100000000000001" customHeight="1">
      <c r="A41" s="18"/>
      <c r="B41" s="62">
        <v>1303000020418</v>
      </c>
      <c r="C41" s="63" t="s">
        <v>96</v>
      </c>
      <c r="D41" s="20" t="s">
        <v>92</v>
      </c>
      <c r="E41" s="64" t="s">
        <v>95</v>
      </c>
      <c r="F41" s="64"/>
      <c r="G41" s="64"/>
      <c r="H41" s="51" t="s">
        <v>19</v>
      </c>
      <c r="I41" s="18">
        <v>1</v>
      </c>
      <c r="J41" s="65">
        <f t="shared" ref="J41:J42" si="0">I41*3</f>
        <v>3</v>
      </c>
      <c r="K41" s="62"/>
    </row>
    <row r="42" spans="1:11" s="66" customFormat="1" ht="20.100000000000001" customHeight="1">
      <c r="A42" s="18"/>
      <c r="B42" s="62">
        <v>1303000020415</v>
      </c>
      <c r="C42" s="63" t="s">
        <v>97</v>
      </c>
      <c r="D42" s="20" t="s">
        <v>92</v>
      </c>
      <c r="E42" s="64" t="s">
        <v>95</v>
      </c>
      <c r="F42" s="64"/>
      <c r="G42" s="64"/>
      <c r="H42" s="51" t="s">
        <v>19</v>
      </c>
      <c r="I42" s="18">
        <v>1</v>
      </c>
      <c r="J42" s="65">
        <f t="shared" si="0"/>
        <v>3</v>
      </c>
      <c r="K42" s="62"/>
    </row>
    <row r="43" spans="1:11" ht="20.100000000000001" customHeight="1">
      <c r="A43" s="23">
        <v>164</v>
      </c>
      <c r="B43" s="58">
        <v>1303000020414</v>
      </c>
      <c r="C43" s="59">
        <v>101002010643</v>
      </c>
      <c r="D43" s="56" t="s">
        <v>93</v>
      </c>
      <c r="E43" s="56" t="s">
        <v>98</v>
      </c>
      <c r="F43" s="56"/>
      <c r="G43" s="56"/>
      <c r="H43" s="29" t="s">
        <v>19</v>
      </c>
      <c r="I43" s="23">
        <v>1</v>
      </c>
      <c r="J43" s="24">
        <v>3</v>
      </c>
      <c r="K43" s="23">
        <v>250923</v>
      </c>
    </row>
    <row r="44" spans="1:11" s="66" customFormat="1" ht="23.25" customHeight="1">
      <c r="A44" s="23">
        <v>165</v>
      </c>
      <c r="B44" s="58">
        <v>1303000017632</v>
      </c>
      <c r="C44" s="59">
        <v>101002010361</v>
      </c>
      <c r="D44" s="56" t="s">
        <v>92</v>
      </c>
      <c r="E44" s="56" t="s">
        <v>15</v>
      </c>
      <c r="F44" s="56"/>
      <c r="G44" s="56"/>
      <c r="H44" s="29" t="s">
        <v>15</v>
      </c>
      <c r="I44" s="23">
        <v>1</v>
      </c>
      <c r="J44" s="60">
        <v>10</v>
      </c>
      <c r="K44" s="58">
        <v>250923</v>
      </c>
    </row>
    <row r="45" spans="1:11" s="66" customFormat="1" ht="23.25" customHeight="1">
      <c r="A45" s="18"/>
      <c r="B45" s="62">
        <v>1303000017629</v>
      </c>
      <c r="C45" s="63" t="s">
        <v>99</v>
      </c>
      <c r="D45" s="20" t="s">
        <v>92</v>
      </c>
      <c r="E45" s="64" t="s">
        <v>95</v>
      </c>
      <c r="F45" s="64"/>
      <c r="G45" s="64"/>
      <c r="H45" s="51" t="s">
        <v>19</v>
      </c>
      <c r="I45" s="18">
        <v>1</v>
      </c>
      <c r="J45" s="65">
        <f>I45*10</f>
        <v>10</v>
      </c>
      <c r="K45" s="62"/>
    </row>
    <row r="46" spans="1:11" s="66" customFormat="1" ht="23.25" customHeight="1">
      <c r="A46" s="18"/>
      <c r="B46" s="62">
        <v>1303000017630</v>
      </c>
      <c r="C46" s="63" t="s">
        <v>100</v>
      </c>
      <c r="D46" s="20" t="s">
        <v>92</v>
      </c>
      <c r="E46" s="64" t="s">
        <v>95</v>
      </c>
      <c r="F46" s="64"/>
      <c r="G46" s="64"/>
      <c r="H46" s="51" t="s">
        <v>19</v>
      </c>
      <c r="I46" s="18">
        <v>1</v>
      </c>
      <c r="J46" s="65">
        <f t="shared" ref="J46:J47" si="1">I46*10</f>
        <v>10</v>
      </c>
      <c r="K46" s="62"/>
    </row>
    <row r="47" spans="1:11" s="66" customFormat="1" ht="23.25" customHeight="1">
      <c r="A47" s="18"/>
      <c r="B47" s="62">
        <v>1303000017631</v>
      </c>
      <c r="C47" s="63" t="s">
        <v>101</v>
      </c>
      <c r="D47" s="20" t="s">
        <v>92</v>
      </c>
      <c r="E47" s="64" t="s">
        <v>95</v>
      </c>
      <c r="F47" s="64"/>
      <c r="G47" s="64"/>
      <c r="H47" s="51" t="s">
        <v>19</v>
      </c>
      <c r="I47" s="18">
        <v>1</v>
      </c>
      <c r="J47" s="65">
        <f t="shared" si="1"/>
        <v>10</v>
      </c>
      <c r="K47" s="62"/>
    </row>
    <row r="48" spans="1:11" ht="20.100000000000001" customHeight="1">
      <c r="A48" s="23">
        <v>166</v>
      </c>
      <c r="B48" s="58">
        <v>1303000017634</v>
      </c>
      <c r="C48" s="59">
        <v>101002010365</v>
      </c>
      <c r="D48" s="56" t="s">
        <v>93</v>
      </c>
      <c r="E48" s="56" t="s">
        <v>98</v>
      </c>
      <c r="F48" s="56"/>
      <c r="G48" s="56"/>
      <c r="H48" s="29" t="s">
        <v>19</v>
      </c>
      <c r="I48" s="23">
        <v>1</v>
      </c>
      <c r="J48" s="24">
        <v>10</v>
      </c>
      <c r="K48" s="23">
        <v>250923</v>
      </c>
    </row>
    <row r="49" spans="1:11" ht="20.100000000000001" customHeight="1">
      <c r="A49" s="9"/>
      <c r="B49" s="10"/>
      <c r="C49" s="10"/>
      <c r="D49" s="11"/>
      <c r="E49" s="11"/>
      <c r="F49" s="11"/>
      <c r="G49" s="11"/>
      <c r="H49" s="11"/>
      <c r="I49" s="11"/>
      <c r="J49" s="11"/>
      <c r="K49" s="11"/>
    </row>
    <row r="50" spans="1:11" ht="20.100000000000001" customHeight="1">
      <c r="A50" s="9"/>
      <c r="B50" s="10"/>
      <c r="C50" s="10"/>
      <c r="D50" s="11"/>
      <c r="E50" s="11"/>
      <c r="F50" s="11"/>
      <c r="G50" s="11"/>
      <c r="H50" s="11"/>
      <c r="I50" s="11"/>
      <c r="J50" s="11"/>
      <c r="K50" s="11"/>
    </row>
    <row r="51" spans="1:11" ht="20.100000000000001" customHeight="1">
      <c r="A51" s="9"/>
      <c r="B51" s="10"/>
      <c r="C51" s="10"/>
      <c r="D51" s="11"/>
      <c r="E51" s="11"/>
      <c r="F51" s="11"/>
      <c r="G51" s="11"/>
      <c r="H51" s="11"/>
      <c r="I51" s="11"/>
      <c r="J51" s="11"/>
      <c r="K51" s="11"/>
    </row>
    <row r="52" spans="1:11" ht="20.100000000000001" customHeight="1">
      <c r="A52" s="9"/>
      <c r="B52" s="10"/>
      <c r="C52" s="10"/>
      <c r="D52" s="11"/>
      <c r="E52" s="11"/>
      <c r="F52" s="11"/>
      <c r="G52" s="11"/>
      <c r="H52" s="11"/>
      <c r="I52" s="11"/>
      <c r="J52" s="11"/>
      <c r="K52" s="11"/>
    </row>
    <row r="53" spans="1:11" ht="20.100000000000001" customHeight="1">
      <c r="A53" s="9"/>
      <c r="B53" s="10"/>
      <c r="C53" s="10"/>
      <c r="D53" s="11"/>
      <c r="E53" s="11"/>
      <c r="F53" s="11"/>
      <c r="G53" s="11"/>
      <c r="H53" s="11"/>
      <c r="I53" s="11"/>
      <c r="J53" s="11"/>
      <c r="K53" s="11"/>
    </row>
    <row r="54" spans="1:11" ht="20.100000000000001" customHeight="1">
      <c r="A54" s="9"/>
      <c r="B54" s="10"/>
      <c r="C54" s="10"/>
      <c r="D54" s="11"/>
      <c r="E54" s="11"/>
      <c r="F54" s="11"/>
      <c r="G54" s="11"/>
      <c r="H54" s="11"/>
      <c r="I54" s="11"/>
      <c r="J54" s="11"/>
      <c r="K54" s="11"/>
    </row>
    <row r="55" spans="1:11" ht="20.100000000000001" customHeight="1">
      <c r="A55" s="9"/>
      <c r="B55" s="10"/>
      <c r="C55" s="10"/>
      <c r="D55" s="11"/>
      <c r="E55" s="11"/>
      <c r="F55" s="11"/>
      <c r="G55" s="11"/>
      <c r="H55" s="11"/>
      <c r="I55" s="11"/>
      <c r="J55" s="11"/>
      <c r="K55" s="11"/>
    </row>
    <row r="56" spans="1:11" ht="20.100000000000001" customHeight="1">
      <c r="A56" s="9"/>
      <c r="B56" s="10"/>
      <c r="C56" s="10"/>
      <c r="D56" s="11"/>
      <c r="E56" s="11"/>
      <c r="F56" s="11"/>
      <c r="G56" s="11"/>
      <c r="H56" s="11"/>
      <c r="I56" s="11"/>
      <c r="J56" s="11"/>
      <c r="K56" s="11"/>
    </row>
    <row r="57" spans="1:11" ht="20.100000000000001" customHeight="1">
      <c r="A57" s="9"/>
      <c r="B57" s="10"/>
      <c r="C57" s="10"/>
      <c r="D57" s="11"/>
      <c r="E57" s="11"/>
      <c r="F57" s="11"/>
      <c r="G57" s="11"/>
      <c r="H57" s="11"/>
      <c r="I57" s="11"/>
      <c r="J57" s="11"/>
      <c r="K57" s="11"/>
    </row>
    <row r="58" spans="1:11" ht="20.100000000000001" customHeight="1">
      <c r="A58" s="9"/>
      <c r="B58" s="10"/>
      <c r="C58" s="10"/>
      <c r="D58" s="11"/>
      <c r="E58" s="11"/>
      <c r="F58" s="11"/>
      <c r="G58" s="11"/>
      <c r="H58" s="11"/>
      <c r="I58" s="11"/>
      <c r="J58" s="11"/>
      <c r="K58" s="11"/>
    </row>
    <row r="59" spans="1:11" ht="20.100000000000001" customHeight="1">
      <c r="A59" s="9"/>
      <c r="B59" s="10"/>
      <c r="C59" s="10"/>
      <c r="D59" s="11"/>
      <c r="E59" s="11"/>
      <c r="F59" s="11"/>
      <c r="G59" s="11"/>
      <c r="H59" s="11"/>
      <c r="I59" s="11"/>
      <c r="J59" s="11"/>
      <c r="K59" s="11"/>
    </row>
    <row r="60" spans="1:11" ht="20.100000000000001" customHeight="1">
      <c r="A60" s="9"/>
      <c r="B60" s="10"/>
      <c r="C60" s="10"/>
      <c r="D60" s="11"/>
      <c r="E60" s="11"/>
      <c r="F60" s="11"/>
      <c r="G60" s="11"/>
      <c r="H60" s="11"/>
      <c r="I60" s="11"/>
      <c r="J60" s="11"/>
      <c r="K60" s="11"/>
    </row>
    <row r="61" spans="1:11" ht="20.100000000000001" customHeight="1">
      <c r="A61" s="9"/>
      <c r="B61" s="10"/>
      <c r="C61" s="10"/>
      <c r="D61" s="11"/>
      <c r="E61" s="11"/>
      <c r="F61" s="11"/>
      <c r="G61" s="11"/>
      <c r="H61" s="11"/>
      <c r="I61" s="11"/>
      <c r="J61" s="11"/>
      <c r="K61" s="11"/>
    </row>
    <row r="62" spans="1:11" ht="20.100000000000001" customHeight="1">
      <c r="A62" s="9"/>
      <c r="B62" s="10"/>
      <c r="C62" s="10"/>
      <c r="D62" s="11"/>
      <c r="E62" s="11"/>
      <c r="F62" s="11"/>
      <c r="G62" s="11"/>
      <c r="H62" s="11"/>
      <c r="I62" s="11"/>
      <c r="J62" s="11"/>
      <c r="K62" s="11"/>
    </row>
    <row r="63" spans="1:11" ht="20.100000000000001" customHeight="1">
      <c r="A63" s="9"/>
      <c r="B63" s="10"/>
      <c r="C63" s="10"/>
      <c r="D63" s="11"/>
      <c r="E63" s="11"/>
      <c r="F63" s="11"/>
      <c r="G63" s="11"/>
      <c r="H63" s="11"/>
      <c r="I63" s="11"/>
      <c r="J63" s="11"/>
      <c r="K63" s="11"/>
    </row>
    <row r="64" spans="1:11" ht="20.100000000000001" customHeight="1">
      <c r="A64" s="9"/>
      <c r="B64" s="10"/>
      <c r="C64" s="10"/>
      <c r="D64" s="11"/>
      <c r="E64" s="11"/>
      <c r="F64" s="11"/>
      <c r="G64" s="11"/>
      <c r="H64" s="11"/>
      <c r="I64" s="11"/>
      <c r="J64" s="11"/>
      <c r="K64" s="11"/>
    </row>
    <row r="65" spans="1:11" ht="20.100000000000001" customHeight="1">
      <c r="A65" s="9"/>
      <c r="B65" s="10"/>
      <c r="C65" s="10"/>
      <c r="D65" s="11"/>
      <c r="E65" s="11"/>
      <c r="F65" s="11"/>
      <c r="G65" s="11"/>
      <c r="H65" s="11"/>
      <c r="I65" s="11"/>
      <c r="J65" s="11"/>
      <c r="K65" s="11"/>
    </row>
    <row r="66" spans="1:11" ht="20.100000000000001" customHeight="1">
      <c r="A66" s="9"/>
      <c r="B66" s="10"/>
      <c r="C66" s="10"/>
      <c r="D66" s="11"/>
      <c r="E66" s="11"/>
      <c r="F66" s="11"/>
      <c r="G66" s="11"/>
      <c r="H66" s="11"/>
      <c r="I66" s="11"/>
      <c r="J66" s="11"/>
      <c r="K66" s="11"/>
    </row>
  </sheetData>
  <autoFilter ref="A1:K48" xr:uid="{C2E401EF-42A2-4C02-BF96-D5276E3EDC51}"/>
  <phoneticPr fontId="1" type="noConversion"/>
  <pageMargins left="0" right="0" top="0.59055118110236227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</cp:lastModifiedBy>
  <cp:lastPrinted>2025-09-27T07:23:02Z</cp:lastPrinted>
  <dcterms:created xsi:type="dcterms:W3CDTF">2025-08-23T02:23:06Z</dcterms:created>
  <dcterms:modified xsi:type="dcterms:W3CDTF">2026-04-02T06:16:39Z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Number">
    <vt:lpwstr> </vt:lpwstr>
  </property>
  <property fmtid="{D5CDD505-2E9C-101B-9397-08002B2CF9AE}" pid="3" name="Project Name">
    <vt:lpwstr>
    </vt:lpwstr>
  </property>
  <property fmtid="{D5CDD505-2E9C-101B-9397-08002B2CF9AE}" pid="4" name="Date">
    <vt:lpwstr>2025-09-24</vt:lpwstr>
  </property>
</Properties>
</file>