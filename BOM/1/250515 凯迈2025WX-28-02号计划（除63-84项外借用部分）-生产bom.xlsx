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\Desktop\新建文件夹 (2)\"/>
    </mc:Choice>
  </mc:AlternateContent>
  <xr:revisionPtr revIDLastSave="0" documentId="13_ncr:1_{A9F827A0-C609-4405-89E0-48DA557D73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9" r:id="rId1"/>
  </sheets>
  <definedNames>
    <definedName name="_xlnm._FilterDatabase" localSheetId="0" hidden="1">Sheet1!$A$1:$K$230</definedName>
    <definedName name="_xlnm.Print_Area" localSheetId="0">Sheet1!$A$1:$K$237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9" l="1"/>
  <c r="J8" i="9"/>
  <c r="J230" i="9"/>
  <c r="J229" i="9"/>
  <c r="J228" i="9"/>
  <c r="J224" i="9"/>
  <c r="J223" i="9"/>
  <c r="J210" i="9"/>
  <c r="J207" i="9"/>
  <c r="J202" i="9"/>
  <c r="J201" i="9"/>
  <c r="J200" i="9"/>
  <c r="J199" i="9"/>
  <c r="J194" i="9"/>
  <c r="J195" i="9"/>
  <c r="J193" i="9"/>
  <c r="J170" i="9"/>
  <c r="J151" i="9"/>
  <c r="J147" i="9"/>
  <c r="J176" i="9"/>
  <c r="J175" i="9"/>
  <c r="J174" i="9"/>
  <c r="J172" i="9"/>
  <c r="J171" i="9"/>
  <c r="J169" i="9"/>
  <c r="J168" i="9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0" i="9"/>
  <c r="J148" i="9"/>
  <c r="J146" i="9"/>
  <c r="J144" i="9" l="1"/>
  <c r="J143" i="9"/>
  <c r="J142" i="9"/>
  <c r="J141" i="9"/>
  <c r="J134" i="9" l="1"/>
  <c r="J131" i="9"/>
  <c r="J126" i="9"/>
  <c r="J127" i="9"/>
  <c r="J125" i="9"/>
  <c r="J65" i="9" l="1"/>
  <c r="J6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Administrator</author>
  </authors>
  <commentList>
    <comment ref="K3" authorId="0" shapeId="0" xr:uid="{5BFBC405-58FC-45BC-8B4B-384ED4AB8075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160x65x8.5</t>
        </r>
      </text>
    </comment>
    <comment ref="K8" authorId="1" shapeId="0" xr:uid="{04AE66F6-E0A2-4324-9DF8-E7FE3876F924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60圆钢车不住  包料用65圆钢车</t>
        </r>
      </text>
    </comment>
    <comment ref="K11" authorId="0" shapeId="0" xr:uid="{FCF7D064-B62B-42D0-B467-9C9F61D35A98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160x65x8.5</t>
        </r>
      </text>
    </comment>
    <comment ref="K21" authorId="1" shapeId="0" xr:uid="{62E37959-D008-44F4-B659-B3BDBF0CBD5F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仓库有库存 包料用60圆钢报料</t>
        </r>
      </text>
    </comment>
    <comment ref="C23" authorId="1" shapeId="0" xr:uid="{563DD7F0-5CAF-477F-8889-6CA7803AE375}">
      <text>
        <r>
          <rPr>
            <b/>
            <sz val="9"/>
            <rFont val="Tahoma"/>
            <family val="2"/>
          </rPr>
          <t>Administrator:</t>
        </r>
        <r>
          <rPr>
            <sz val="9"/>
            <rFont val="Tahoma"/>
            <family val="2"/>
          </rPr>
          <t xml:space="preserve">
22.6.16 </t>
        </r>
        <r>
          <rPr>
            <sz val="9"/>
            <rFont val="宋体"/>
            <family val="3"/>
            <charset val="134"/>
          </rPr>
          <t>客户改图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宋体"/>
            <family val="3"/>
            <charset val="134"/>
          </rPr>
          <t>侧板</t>
        </r>
        <r>
          <rPr>
            <sz val="9"/>
            <rFont val="Tahoma"/>
            <family val="2"/>
          </rPr>
          <t xml:space="preserve">101005001208 </t>
        </r>
        <r>
          <rPr>
            <sz val="9"/>
            <rFont val="宋体"/>
            <family val="3"/>
            <charset val="134"/>
          </rPr>
          <t>材质由</t>
        </r>
        <r>
          <rPr>
            <sz val="9"/>
            <rFont val="Tahoma"/>
            <family val="2"/>
          </rPr>
          <t>304</t>
        </r>
        <r>
          <rPr>
            <sz val="9"/>
            <rFont val="宋体"/>
            <family val="3"/>
            <charset val="134"/>
          </rPr>
          <t>改成</t>
        </r>
        <r>
          <rPr>
            <sz val="9"/>
            <rFont val="Tahoma"/>
            <family val="2"/>
          </rPr>
          <t xml:space="preserve">Q235
</t>
        </r>
      </text>
    </comment>
  </commentList>
</comments>
</file>

<file path=xl/sharedStrings.xml><?xml version="1.0" encoding="utf-8"?>
<sst xmlns="http://schemas.openxmlformats.org/spreadsheetml/2006/main" count="856" uniqueCount="287">
  <si>
    <t>序号</t>
  </si>
  <si>
    <t>图号</t>
  </si>
  <si>
    <t>名称</t>
  </si>
  <si>
    <t>厚度</t>
  </si>
  <si>
    <t>长度</t>
  </si>
  <si>
    <t>宽度</t>
  </si>
  <si>
    <t>材质</t>
  </si>
  <si>
    <t>数量</t>
  </si>
  <si>
    <t>总数量</t>
  </si>
  <si>
    <t>备注</t>
  </si>
  <si>
    <t>物料ID</t>
    <phoneticPr fontId="4" type="noConversion"/>
  </si>
  <si>
    <t>板</t>
  </si>
  <si>
    <t>底座</t>
  </si>
  <si>
    <t>箱体</t>
  </si>
  <si>
    <t>接料体</t>
  </si>
  <si>
    <t>通气口</t>
  </si>
  <si>
    <t>压板</t>
  </si>
  <si>
    <t>盖体</t>
  </si>
  <si>
    <t>手柄</t>
  </si>
  <si>
    <t>翻板</t>
  </si>
  <si>
    <t>体</t>
  </si>
  <si>
    <t>护板</t>
  </si>
  <si>
    <t>弯板</t>
  </si>
  <si>
    <t>右弯板</t>
  </si>
  <si>
    <t>左弯板</t>
  </si>
  <si>
    <t>右盒焊接件</t>
  </si>
  <si>
    <t>左盒焊接件</t>
  </si>
  <si>
    <t>101002007544</t>
  </si>
  <si>
    <t>101002007528</t>
  </si>
  <si>
    <t>支座</t>
  </si>
  <si>
    <t>101002005239</t>
  </si>
  <si>
    <t>101002009007</t>
  </si>
  <si>
    <t>网板</t>
  </si>
  <si>
    <t>板</t>
    <phoneticPr fontId="5" type="noConversion"/>
  </si>
  <si>
    <t>101002004702</t>
  </si>
  <si>
    <t>夹板</t>
  </si>
  <si>
    <t>101002006634</t>
  </si>
  <si>
    <t>管夹体</t>
  </si>
  <si>
    <t>101002007360</t>
  </si>
  <si>
    <t>101002007361</t>
  </si>
  <si>
    <t>垫板</t>
  </si>
  <si>
    <t>101002007316</t>
  </si>
  <si>
    <t>内弯板</t>
  </si>
  <si>
    <t>测速环</t>
    <phoneticPr fontId="5" type="noConversion"/>
  </si>
  <si>
    <t>右安装板</t>
  </si>
  <si>
    <t>248037100-2</t>
  </si>
  <si>
    <t>左安装板</t>
  </si>
  <si>
    <t>上支架</t>
  </si>
  <si>
    <t>组件</t>
  </si>
  <si>
    <t>加强杆</t>
  </si>
  <si>
    <t>/</t>
  </si>
  <si>
    <t>Q235B</t>
  </si>
  <si>
    <t>16#槽钢 L=1116mm</t>
  </si>
  <si>
    <t>100*100*6方管 L=1840无图</t>
  </si>
  <si>
    <t>底板</t>
  </si>
  <si>
    <t>T20</t>
  </si>
  <si>
    <t>管</t>
  </si>
  <si>
    <t>弹簧垫板</t>
  </si>
  <si>
    <t>外协车 φ65 L=54mm</t>
  </si>
  <si>
    <t>T16</t>
  </si>
  <si>
    <t>立柱</t>
  </si>
  <si>
    <t>101005000611-1</t>
  </si>
  <si>
    <t>槽钢</t>
  </si>
  <si>
    <t>16#槽钢 L=333.5无图</t>
  </si>
  <si>
    <t>37.5.1</t>
    <phoneticPr fontId="4" type="noConversion"/>
  </si>
  <si>
    <t>37.5.2</t>
    <phoneticPr fontId="4" type="noConversion"/>
  </si>
  <si>
    <t>37.6.1</t>
    <phoneticPr fontId="4" type="noConversion"/>
  </si>
  <si>
    <t>支板</t>
  </si>
  <si>
    <t>T10</t>
  </si>
  <si>
    <t>加强筋</t>
  </si>
  <si>
    <t>T8</t>
  </si>
  <si>
    <t>T6</t>
  </si>
  <si>
    <t>加强板</t>
  </si>
  <si>
    <t>1272*200*10 无图</t>
  </si>
  <si>
    <t>芯棒</t>
  </si>
  <si>
    <t>外协车 φ60 L=44</t>
  </si>
  <si>
    <t>块</t>
  </si>
  <si>
    <t>左侧板</t>
  </si>
  <si>
    <t>101005001208-1</t>
  </si>
  <si>
    <t>电机支板</t>
  </si>
  <si>
    <t>T25</t>
  </si>
  <si>
    <t>箱体焊接件</t>
  </si>
  <si>
    <t>T4</t>
  </si>
  <si>
    <t>06Cr19Ni10</t>
  </si>
  <si>
    <t xml:space="preserve"> 前弯板</t>
  </si>
  <si>
    <t>后弯板</t>
  </si>
  <si>
    <t>XT-BK-1</t>
  </si>
  <si>
    <t>箱体补块</t>
  </si>
  <si>
    <t>粉末料口</t>
  </si>
  <si>
    <t>环</t>
  </si>
  <si>
    <t>φ5 L=345.4mm</t>
  </si>
  <si>
    <t>外协滚圆</t>
  </si>
  <si>
    <t>合格料口</t>
  </si>
  <si>
    <t>长料口</t>
  </si>
  <si>
    <t>38.14.1</t>
    <phoneticPr fontId="4" type="noConversion"/>
  </si>
  <si>
    <t>38.14.2</t>
    <phoneticPr fontId="4" type="noConversion"/>
  </si>
  <si>
    <t>38.14.3</t>
  </si>
  <si>
    <t>38.14.4</t>
  </si>
  <si>
    <t>38.14.5</t>
  </si>
  <si>
    <t>38.14.6</t>
  </si>
  <si>
    <t>38.14.7</t>
  </si>
  <si>
    <t>38.14.8</t>
  </si>
  <si>
    <t>38.14.9</t>
    <phoneticPr fontId="4" type="noConversion"/>
  </si>
  <si>
    <t>38.14.10</t>
    <phoneticPr fontId="4" type="noConversion"/>
  </si>
  <si>
    <t>101005002345</t>
  </si>
  <si>
    <t>T5</t>
  </si>
  <si>
    <t>进料口焊接件</t>
  </si>
  <si>
    <t>06Cr19Ni10</t>
    <phoneticPr fontId="4" type="noConversion"/>
  </si>
  <si>
    <t>支撑板</t>
  </si>
  <si>
    <t>T2</t>
  </si>
  <si>
    <t>A2-70</t>
    <phoneticPr fontId="4" type="noConversion"/>
  </si>
  <si>
    <t>外购</t>
  </si>
  <si>
    <t>把手</t>
  </si>
  <si>
    <t xml:space="preserve"> 圆台</t>
  </si>
  <si>
    <t>圆管</t>
  </si>
  <si>
    <t>T3</t>
  </si>
  <si>
    <t>左右对称制作</t>
  </si>
  <si>
    <t xml:space="preserve"> 弯板</t>
  </si>
  <si>
    <t>101005002859</t>
  </si>
  <si>
    <t>101005003130</t>
    <phoneticPr fontId="4" type="noConversion"/>
  </si>
  <si>
    <t>101005003131</t>
    <phoneticPr fontId="4" type="noConversion"/>
  </si>
  <si>
    <t>101005000780</t>
  </si>
  <si>
    <t>101005000781</t>
    <phoneticPr fontId="4" type="noConversion"/>
  </si>
  <si>
    <t>101005002861</t>
    <phoneticPr fontId="4" type="noConversion"/>
  </si>
  <si>
    <t>变径管</t>
  </si>
  <si>
    <t>101005002862</t>
  </si>
  <si>
    <t>101005002863</t>
    <phoneticPr fontId="4" type="noConversion"/>
  </si>
  <si>
    <t>法兰</t>
  </si>
  <si>
    <t>101005003132</t>
    <phoneticPr fontId="4" type="noConversion"/>
  </si>
  <si>
    <t>圆盘</t>
    <phoneticPr fontId="4" type="noConversion"/>
  </si>
  <si>
    <t>T5</t>
    <phoneticPr fontId="4" type="noConversion"/>
  </si>
  <si>
    <t>101005003133</t>
    <phoneticPr fontId="4" type="noConversion"/>
  </si>
  <si>
    <t>半圆环</t>
    <phoneticPr fontId="4" type="noConversion"/>
  </si>
  <si>
    <t>T2</t>
    <phoneticPr fontId="4" type="noConversion"/>
  </si>
  <si>
    <t>外协滚圆</t>
    <phoneticPr fontId="4" type="noConversion"/>
  </si>
  <si>
    <t>下筛体</t>
    <phoneticPr fontId="4" type="noConversion"/>
  </si>
  <si>
    <t>下筛板</t>
  </si>
  <si>
    <t>101005002381-A</t>
  </si>
  <si>
    <t>下筛板-A</t>
  </si>
  <si>
    <t>101005002381-B</t>
  </si>
  <si>
    <t>下筛板-B</t>
  </si>
  <si>
    <t>前弯板</t>
  </si>
  <si>
    <t xml:space="preserve"> 板</t>
  </si>
  <si>
    <t>φ22圆钢 L=1240mm</t>
  </si>
  <si>
    <t>48.1.1</t>
    <phoneticPr fontId="4" type="noConversion"/>
  </si>
  <si>
    <t>48.1.2</t>
    <phoneticPr fontId="4" type="noConversion"/>
  </si>
  <si>
    <t>06Cr19Ni10_M</t>
  </si>
  <si>
    <t>护板</t>
    <phoneticPr fontId="4" type="noConversion"/>
  </si>
  <si>
    <t>T2.5</t>
    <phoneticPr fontId="4" type="noConversion"/>
  </si>
  <si>
    <t>101002001379(258031100)</t>
    <phoneticPr fontId="4" type="noConversion"/>
  </si>
  <si>
    <t>101002001378(258031100-1)</t>
    <phoneticPr fontId="4" type="noConversion"/>
  </si>
  <si>
    <t>101002000666(258031100-2)</t>
    <phoneticPr fontId="4" type="noConversion"/>
  </si>
  <si>
    <t>T12</t>
  </si>
  <si>
    <t>101002000667(258031100-3)</t>
    <phoneticPr fontId="4" type="noConversion"/>
  </si>
  <si>
    <t>右盒</t>
  </si>
  <si>
    <t>柱</t>
  </si>
  <si>
    <t>φ14圆钢 L=62mm外协</t>
  </si>
  <si>
    <t>组件</t>
    <phoneticPr fontId="4" type="noConversion"/>
  </si>
  <si>
    <t>左盒</t>
  </si>
  <si>
    <t>146032300-5</t>
    <phoneticPr fontId="4" type="noConversion"/>
  </si>
  <si>
    <t>垫</t>
  </si>
  <si>
    <t>T0.8</t>
  </si>
  <si>
    <t>022Cr17Ni12Mo2</t>
    <phoneticPr fontId="4" type="noConversion"/>
  </si>
  <si>
    <t>101002001387(258032000-1)</t>
    <phoneticPr fontId="4" type="noConversion"/>
  </si>
  <si>
    <t>101002000741（248032000-2）</t>
    <phoneticPr fontId="4" type="noConversion"/>
  </si>
  <si>
    <t>022Cr17Ni12Mo2</t>
  </si>
  <si>
    <t>外购</t>
    <phoneticPr fontId="4" type="noConversion"/>
  </si>
  <si>
    <t>槽体</t>
    <phoneticPr fontId="4" type="noConversion"/>
  </si>
  <si>
    <t xml:space="preserve">加强筋 </t>
    <phoneticPr fontId="4" type="noConversion"/>
  </si>
  <si>
    <t>弯板</t>
    <phoneticPr fontId="4" type="noConversion"/>
  </si>
  <si>
    <t>101002000695（248032100-2）</t>
    <phoneticPr fontId="4" type="noConversion"/>
  </si>
  <si>
    <t>板</t>
    <phoneticPr fontId="4" type="noConversion"/>
  </si>
  <si>
    <t>T20</t>
    <phoneticPr fontId="4" type="noConversion"/>
  </si>
  <si>
    <t>T14</t>
    <phoneticPr fontId="4" type="noConversion"/>
  </si>
  <si>
    <t>101002000708（248032100-15）</t>
    <phoneticPr fontId="4" type="noConversion"/>
  </si>
  <si>
    <t>螺杆</t>
    <phoneticPr fontId="4" type="noConversion"/>
  </si>
  <si>
    <t>T24</t>
    <phoneticPr fontId="4" type="noConversion"/>
  </si>
  <si>
    <t>T10</t>
    <phoneticPr fontId="4" type="noConversion"/>
  </si>
  <si>
    <t>T8</t>
    <phoneticPr fontId="4" type="noConversion"/>
  </si>
  <si>
    <t>T4</t>
    <phoneticPr fontId="4" type="noConversion"/>
  </si>
  <si>
    <t>102</t>
    <phoneticPr fontId="4" type="noConversion"/>
  </si>
  <si>
    <t>M8螺杆 L=20mm</t>
  </si>
  <si>
    <t>/</t>
    <phoneticPr fontId="4" type="noConversion"/>
  </si>
  <si>
    <t>102.1</t>
    <phoneticPr fontId="4" type="noConversion"/>
  </si>
  <si>
    <t>102.2</t>
    <phoneticPr fontId="4" type="noConversion"/>
  </si>
  <si>
    <t>102.3</t>
    <phoneticPr fontId="4" type="noConversion"/>
  </si>
  <si>
    <t>102.4</t>
    <phoneticPr fontId="4" type="noConversion"/>
  </si>
  <si>
    <t>102.5</t>
    <phoneticPr fontId="4" type="noConversion"/>
  </si>
  <si>
    <t>102.6</t>
  </si>
  <si>
    <t>102.7</t>
  </si>
  <si>
    <t>102.8</t>
  </si>
  <si>
    <t>102.9</t>
  </si>
  <si>
    <t>102.10</t>
  </si>
  <si>
    <t>102.11</t>
  </si>
  <si>
    <t>102.12</t>
  </si>
  <si>
    <t>102.13</t>
  </si>
  <si>
    <t>102.14</t>
  </si>
  <si>
    <t>102.15</t>
  </si>
  <si>
    <t>102.16</t>
  </si>
  <si>
    <t>102.17</t>
  </si>
  <si>
    <t>102.18</t>
  </si>
  <si>
    <t>102.19</t>
  </si>
  <si>
    <t>102.20</t>
  </si>
  <si>
    <t>101002007552</t>
    <phoneticPr fontId="4" type="noConversion"/>
  </si>
  <si>
    <t>101002001420(258033200-6)</t>
    <phoneticPr fontId="4" type="noConversion"/>
  </si>
  <si>
    <t>248033200-2</t>
    <phoneticPr fontId="4" type="noConversion"/>
  </si>
  <si>
    <t>101002000890（248033200-14）</t>
    <phoneticPr fontId="4" type="noConversion"/>
  </si>
  <si>
    <t>101002000893（248033200-17）</t>
    <phoneticPr fontId="4" type="noConversion"/>
  </si>
  <si>
    <t>101002009007-1</t>
  </si>
  <si>
    <t>网板-1</t>
  </si>
  <si>
    <t>T1.5</t>
  </si>
  <si>
    <t>网孔板下料</t>
  </si>
  <si>
    <t>101002009007-2</t>
  </si>
  <si>
    <t>网板-2</t>
  </si>
  <si>
    <t>101002009007-3</t>
  </si>
  <si>
    <t>网板-3</t>
  </si>
  <si>
    <t>272015200(101003000722)</t>
    <phoneticPr fontId="4" type="noConversion"/>
  </si>
  <si>
    <t>盖</t>
  </si>
  <si>
    <t>272015200-1(101003000723)</t>
    <phoneticPr fontId="4" type="noConversion"/>
  </si>
  <si>
    <t>272015200-2(101003000724)</t>
    <phoneticPr fontId="4" type="noConversion"/>
  </si>
  <si>
    <t>弯条</t>
  </si>
  <si>
    <t>101002005859</t>
  </si>
  <si>
    <t>管夹</t>
  </si>
  <si>
    <t>101002006633</t>
  </si>
  <si>
    <t>棒</t>
  </si>
  <si>
    <t>φ18圆钢 L=120mm外协</t>
  </si>
  <si>
    <t>101002007362</t>
  </si>
  <si>
    <t>φ18圆钢 L=124mm外协</t>
  </si>
  <si>
    <t>101002007361</t>
    <phoneticPr fontId="4" type="noConversion"/>
  </si>
  <si>
    <t>101002001722（248041000-6）</t>
    <phoneticPr fontId="4" type="noConversion"/>
  </si>
  <si>
    <t>101002007317</t>
    <phoneticPr fontId="4" type="noConversion"/>
  </si>
  <si>
    <t>101002008991</t>
    <phoneticPr fontId="4" type="noConversion"/>
  </si>
  <si>
    <t>101002008994</t>
    <phoneticPr fontId="4" type="noConversion"/>
  </si>
  <si>
    <t>101002008995</t>
    <phoneticPr fontId="4" type="noConversion"/>
  </si>
  <si>
    <t>248050000-5</t>
    <phoneticPr fontId="4" type="noConversion"/>
  </si>
  <si>
    <t>弯板</t>
    <phoneticPr fontId="5" type="noConversion"/>
  </si>
  <si>
    <t>罩</t>
    <phoneticPr fontId="5" type="noConversion"/>
  </si>
  <si>
    <t>101002001051(248050020-1)</t>
    <phoneticPr fontId="4" type="noConversion"/>
  </si>
  <si>
    <t>101002001052(248050020-2)</t>
    <phoneticPr fontId="4" type="noConversion"/>
  </si>
  <si>
    <t>248037100-1</t>
    <phoneticPr fontId="4" type="noConversion"/>
  </si>
  <si>
    <t>258036120-1</t>
  </si>
  <si>
    <t>258036120-2</t>
  </si>
  <si>
    <t>258036120-3</t>
  </si>
  <si>
    <t>长板</t>
  </si>
  <si>
    <t>φ18*2 L=270mm</t>
  </si>
  <si>
    <t>06Cr19Ni10</t>
    <phoneticPr fontId="4" type="noConversion"/>
  </si>
  <si>
    <t>1+1 外协滚圆</t>
    <phoneticPr fontId="4" type="noConversion"/>
  </si>
  <si>
    <r>
      <t xml:space="preserve">1+1 </t>
    </r>
    <r>
      <rPr>
        <sz val="12"/>
        <rFont val="Calibri"/>
        <family val="3"/>
        <charset val="161"/>
      </rPr>
      <t>φ</t>
    </r>
    <r>
      <rPr>
        <sz val="12"/>
        <rFont val="宋体"/>
        <family val="3"/>
        <charset val="134"/>
        <scheme val="minor"/>
      </rPr>
      <t>5 L=656mm</t>
    </r>
    <phoneticPr fontId="4" type="noConversion"/>
  </si>
  <si>
    <t>六角头螺栓</t>
    <phoneticPr fontId="4" type="noConversion"/>
  </si>
  <si>
    <t>M8</t>
    <phoneticPr fontId="4" type="noConversion"/>
  </si>
  <si>
    <t>焊接六角螺母</t>
    <phoneticPr fontId="4" type="noConversion"/>
  </si>
  <si>
    <t>8+6</t>
    <phoneticPr fontId="4" type="noConversion"/>
  </si>
  <si>
    <t>8+4</t>
    <phoneticPr fontId="4" type="noConversion"/>
  </si>
  <si>
    <t>4+2</t>
    <phoneticPr fontId="4" type="noConversion"/>
  </si>
  <si>
    <r>
      <t>外协冲孔</t>
    </r>
    <r>
      <rPr>
        <sz val="12"/>
        <rFont val="Calibri"/>
        <family val="3"/>
        <charset val="161"/>
      </rPr>
      <t>φ</t>
    </r>
    <r>
      <rPr>
        <sz val="12"/>
        <rFont val="宋体"/>
        <family val="3"/>
        <charset val="134"/>
        <scheme val="minor"/>
      </rPr>
      <t>2 T1.68薄板下料</t>
    </r>
    <phoneticPr fontId="4" type="noConversion"/>
  </si>
  <si>
    <r>
      <t xml:space="preserve">8+4 </t>
    </r>
    <r>
      <rPr>
        <sz val="12"/>
        <rFont val="Calibri"/>
        <family val="3"/>
        <charset val="161"/>
      </rPr>
      <t>φ</t>
    </r>
    <r>
      <rPr>
        <sz val="12"/>
        <rFont val="宋体"/>
        <family val="3"/>
        <charset val="134"/>
        <scheme val="minor"/>
      </rPr>
      <t>10圆钢L=217mm</t>
    </r>
    <phoneticPr fontId="4" type="noConversion"/>
  </si>
  <si>
    <t>M6</t>
  </si>
  <si>
    <t>外购</t>
    <phoneticPr fontId="4" type="noConversion"/>
  </si>
  <si>
    <r>
      <t xml:space="preserve">6+6 </t>
    </r>
    <r>
      <rPr>
        <sz val="12"/>
        <color theme="1"/>
        <rFont val="Calibri"/>
        <family val="3"/>
        <charset val="161"/>
      </rPr>
      <t>φ</t>
    </r>
    <r>
      <rPr>
        <sz val="12"/>
        <color theme="1"/>
        <rFont val="宋体"/>
        <family val="3"/>
        <charset val="134"/>
        <scheme val="minor"/>
      </rPr>
      <t>14圆钢 L=62mm外协</t>
    </r>
    <phoneticPr fontId="4" type="noConversion"/>
  </si>
  <si>
    <t>022Cr17Ni12Mo2</t>
    <phoneticPr fontId="4" type="noConversion"/>
  </si>
  <si>
    <t>40+2</t>
    <phoneticPr fontId="4" type="noConversion"/>
  </si>
  <si>
    <t>101003000713（272015000-2）</t>
    <phoneticPr fontId="5" type="noConversion"/>
  </si>
  <si>
    <t>272015200-3(101003000725)</t>
    <phoneticPr fontId="4" type="noConversion"/>
  </si>
  <si>
    <t>272015200-4(101003000726)</t>
    <phoneticPr fontId="4" type="noConversion"/>
  </si>
  <si>
    <t>24+24 250428</t>
    <phoneticPr fontId="4" type="noConversion"/>
  </si>
  <si>
    <t>2+2 20240314</t>
    <phoneticPr fontId="4" type="noConversion"/>
  </si>
  <si>
    <t>101002001043（248050000-19）</t>
    <phoneticPr fontId="4" type="noConversion"/>
  </si>
  <si>
    <t>101002000863（248033000-14）</t>
    <phoneticPr fontId="4" type="noConversion"/>
  </si>
  <si>
    <t>022Cr17Ni12Mo2-HL+M</t>
    <phoneticPr fontId="4" type="noConversion"/>
  </si>
  <si>
    <t>1116*2=2232</t>
    <phoneticPr fontId="4" type="noConversion"/>
  </si>
  <si>
    <t>1840*2=3680</t>
    <phoneticPr fontId="4" type="noConversion"/>
  </si>
  <si>
    <t>270*2=540</t>
    <phoneticPr fontId="4" type="noConversion"/>
  </si>
  <si>
    <t>44*8=352</t>
    <phoneticPr fontId="4" type="noConversion"/>
  </si>
  <si>
    <t>345.4*1=345.4</t>
    <phoneticPr fontId="4" type="noConversion"/>
  </si>
  <si>
    <t>656*2=1312</t>
    <phoneticPr fontId="4" type="noConversion"/>
  </si>
  <si>
    <t>217*12=2604</t>
    <phoneticPr fontId="4" type="noConversion"/>
  </si>
  <si>
    <t>1240*6=7440</t>
    <phoneticPr fontId="4" type="noConversion"/>
  </si>
  <si>
    <t>62*12=744</t>
    <phoneticPr fontId="4" type="noConversion"/>
  </si>
  <si>
    <t>20*2=40</t>
    <phoneticPr fontId="4" type="noConversion"/>
  </si>
  <si>
    <t>120*24=2880</t>
    <phoneticPr fontId="4" type="noConversion"/>
  </si>
  <si>
    <t>124*2=248</t>
    <phoneticPr fontId="4" type="noConversion"/>
  </si>
  <si>
    <t xml:space="preserve"> 外购</t>
    <phoneticPr fontId="4" type="noConversion"/>
  </si>
  <si>
    <t>M6x16</t>
    <phoneticPr fontId="4" type="noConversion"/>
  </si>
  <si>
    <t>GB_T 13681</t>
    <phoneticPr fontId="4" type="noConversion"/>
  </si>
  <si>
    <t>GB_T 5783</t>
    <phoneticPr fontId="4" type="noConversion"/>
  </si>
  <si>
    <t>333.5*8=2668</t>
    <phoneticPr fontId="4" type="noConversion"/>
  </si>
  <si>
    <t>54*8=432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</si>
</sst>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00000"/>
    <numFmt numFmtId="177" formatCode="0_);[Red]\(0\)"/>
    <numFmt numFmtId="178" formatCode="0_ "/>
    <numFmt numFmtId="179" formatCode="0.00_ "/>
  </numFmts>
  <fonts count="19" x14ac:knownFonts="1">
    <font>
      <sz val="11"/>
      <color theme="1"/>
      <name val="宋体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12"/>
      <color rgb="FFFF0000"/>
      <name val="宋体"/>
      <family val="3"/>
      <charset val="134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2"/>
      <color theme="1"/>
      <name val="宋体"/>
      <family val="3"/>
      <charset val="134"/>
      <scheme val="minor"/>
    </font>
    <font>
      <sz val="12"/>
      <name val="Calibri"/>
      <family val="3"/>
      <charset val="161"/>
    </font>
    <font>
      <sz val="12"/>
      <color theme="1"/>
      <name val="Calibri"/>
      <family val="3"/>
      <charset val="16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2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2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6" fillId="3" borderId="6" xfId="0" applyFont="1" applyFill="1" applyBorder="1" applyAlignment="1">
      <alignment horizontal="center" shrinkToFit="1"/>
    </xf>
    <xf numFmtId="0" fontId="7" fillId="3" borderId="6" xfId="0" applyFont="1" applyFill="1" applyBorder="1" applyAlignment="1">
      <alignment horizontal="center" shrinkToFit="1"/>
    </xf>
    <xf numFmtId="178" fontId="8" fillId="3" borderId="6" xfId="5" applyNumberFormat="1" applyFont="1" applyFill="1" applyBorder="1" applyAlignment="1">
      <alignment horizontal="center" shrinkToFit="1"/>
    </xf>
    <xf numFmtId="0" fontId="8" fillId="3" borderId="6" xfId="5" applyFont="1" applyFill="1" applyBorder="1" applyAlignment="1">
      <alignment horizontal="center" shrinkToFit="1"/>
    </xf>
    <xf numFmtId="0" fontId="8" fillId="3" borderId="6" xfId="0" applyFont="1" applyFill="1" applyBorder="1" applyAlignment="1">
      <alignment horizontal="center" shrinkToFit="1"/>
    </xf>
    <xf numFmtId="0" fontId="8" fillId="3" borderId="6" xfId="6" applyFont="1" applyFill="1" applyBorder="1" applyAlignment="1">
      <alignment horizontal="center" shrinkToFit="1"/>
    </xf>
    <xf numFmtId="0" fontId="8" fillId="3" borderId="6" xfId="3" applyFont="1" applyFill="1" applyBorder="1" applyAlignment="1">
      <alignment horizontal="center" shrinkToFit="1"/>
    </xf>
    <xf numFmtId="178" fontId="8" fillId="3" borderId="6" xfId="3" applyNumberFormat="1" applyFont="1" applyFill="1" applyBorder="1" applyAlignment="1">
      <alignment horizontal="center" shrinkToFit="1"/>
    </xf>
    <xf numFmtId="179" fontId="7" fillId="3" borderId="6" xfId="0" applyNumberFormat="1" applyFont="1" applyFill="1" applyBorder="1" applyAlignment="1">
      <alignment horizontal="center" shrinkToFit="1"/>
    </xf>
    <xf numFmtId="49" fontId="8" fillId="3" borderId="6" xfId="0" applyNumberFormat="1" applyFont="1" applyFill="1" applyBorder="1" applyAlignment="1">
      <alignment horizontal="center" shrinkToFit="1"/>
    </xf>
    <xf numFmtId="0" fontId="7" fillId="3" borderId="6" xfId="1" applyFont="1" applyFill="1" applyBorder="1" applyAlignment="1">
      <alignment horizontal="center" shrinkToFit="1"/>
    </xf>
    <xf numFmtId="49" fontId="6" fillId="3" borderId="6" xfId="0" applyNumberFormat="1" applyFont="1" applyFill="1" applyBorder="1" applyAlignment="1">
      <alignment horizontal="center" shrinkToFit="1"/>
    </xf>
    <xf numFmtId="0" fontId="6" fillId="3" borderId="6" xfId="0" quotePrefix="1" applyFont="1" applyFill="1" applyBorder="1" applyAlignment="1">
      <alignment horizontal="center" shrinkToFit="1"/>
    </xf>
    <xf numFmtId="178" fontId="6" fillId="3" borderId="6" xfId="5" applyNumberFormat="1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6" xfId="5" applyFont="1" applyFill="1" applyBorder="1" applyAlignment="1">
      <alignment horizontal="center"/>
    </xf>
    <xf numFmtId="0" fontId="6" fillId="3" borderId="6" xfId="6" applyFont="1" applyFill="1" applyBorder="1" applyAlignment="1">
      <alignment horizontal="center"/>
    </xf>
    <xf numFmtId="0" fontId="6" fillId="3" borderId="6" xfId="3" applyFont="1" applyFill="1" applyBorder="1" applyAlignment="1">
      <alignment horizontal="center"/>
    </xf>
    <xf numFmtId="178" fontId="8" fillId="3" borderId="6" xfId="5" applyNumberFormat="1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6" xfId="3" applyFont="1" applyFill="1" applyBorder="1" applyAlignment="1">
      <alignment horizontal="center"/>
    </xf>
    <xf numFmtId="0" fontId="6" fillId="3" borderId="6" xfId="5" applyFont="1" applyFill="1" applyBorder="1" applyAlignment="1">
      <alignment horizontal="center" shrinkToFit="1"/>
    </xf>
    <xf numFmtId="0" fontId="8" fillId="3" borderId="6" xfId="5" applyFont="1" applyFill="1" applyBorder="1" applyAlignment="1">
      <alignment horizontal="center"/>
    </xf>
    <xf numFmtId="0" fontId="6" fillId="3" borderId="6" xfId="6" applyFont="1" applyFill="1" applyBorder="1" applyAlignment="1">
      <alignment horizontal="center" wrapText="1"/>
    </xf>
    <xf numFmtId="49" fontId="6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176" fontId="6" fillId="3" borderId="6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49" fontId="6" fillId="3" borderId="6" xfId="0" applyNumberFormat="1" applyFont="1" applyFill="1" applyBorder="1" applyAlignment="1">
      <alignment horizontal="center"/>
    </xf>
    <xf numFmtId="0" fontId="6" fillId="3" borderId="6" xfId="0" applyFont="1" applyFill="1" applyBorder="1" applyAlignment="1"/>
    <xf numFmtId="0" fontId="6" fillId="3" borderId="0" xfId="0" applyFont="1" applyFill="1" applyAlignment="1"/>
    <xf numFmtId="0" fontId="7" fillId="3" borderId="6" xfId="0" applyFont="1" applyFill="1" applyBorder="1" applyAlignment="1"/>
    <xf numFmtId="176" fontId="6" fillId="3" borderId="6" xfId="0" applyNumberFormat="1" applyFont="1" applyFill="1" applyBorder="1" applyAlignment="1">
      <alignment horizontal="right"/>
    </xf>
    <xf numFmtId="0" fontId="7" fillId="3" borderId="0" xfId="0" applyFont="1" applyFill="1" applyAlignment="1"/>
    <xf numFmtId="176" fontId="7" fillId="3" borderId="6" xfId="0" applyNumberFormat="1" applyFont="1" applyFill="1" applyBorder="1" applyAlignment="1">
      <alignment horizontal="right"/>
    </xf>
    <xf numFmtId="49" fontId="7" fillId="3" borderId="6" xfId="0" applyNumberFormat="1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176" fontId="6" fillId="3" borderId="6" xfId="0" applyNumberFormat="1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6" fillId="3" borderId="6" xfId="0" quotePrefix="1" applyFont="1" applyFill="1" applyBorder="1" applyAlignment="1">
      <alignment horizontal="center" wrapText="1"/>
    </xf>
    <xf numFmtId="176" fontId="8" fillId="3" borderId="6" xfId="0" applyNumberFormat="1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 wrapText="1"/>
    </xf>
    <xf numFmtId="0" fontId="8" fillId="3" borderId="6" xfId="0" quotePrefix="1" applyFont="1" applyFill="1" applyBorder="1" applyAlignment="1">
      <alignment horizontal="center" wrapText="1"/>
    </xf>
    <xf numFmtId="176" fontId="8" fillId="3" borderId="6" xfId="0" applyNumberFormat="1" applyFont="1" applyFill="1" applyBorder="1" applyAlignment="1">
      <alignment horizontal="center"/>
    </xf>
    <xf numFmtId="176" fontId="6" fillId="3" borderId="2" xfId="0" applyNumberFormat="1" applyFont="1" applyFill="1" applyBorder="1" applyAlignment="1">
      <alignment horizontal="center"/>
    </xf>
    <xf numFmtId="49" fontId="8" fillId="3" borderId="6" xfId="0" applyNumberFormat="1" applyFont="1" applyFill="1" applyBorder="1" applyAlignment="1">
      <alignment horizontal="center"/>
    </xf>
    <xf numFmtId="49" fontId="8" fillId="3" borderId="0" xfId="0" applyNumberFormat="1" applyFont="1" applyFill="1" applyAlignment="1">
      <alignment horizontal="center"/>
    </xf>
    <xf numFmtId="178" fontId="8" fillId="3" borderId="6" xfId="0" applyNumberFormat="1" applyFont="1" applyFill="1" applyBorder="1" applyAlignment="1">
      <alignment horizontal="center"/>
    </xf>
    <xf numFmtId="178" fontId="8" fillId="3" borderId="6" xfId="0" applyNumberFormat="1" applyFont="1" applyFill="1" applyBorder="1" applyAlignment="1">
      <alignment horizontal="right"/>
    </xf>
    <xf numFmtId="178" fontId="6" fillId="3" borderId="6" xfId="0" applyNumberFormat="1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6" fillId="4" borderId="6" xfId="0" applyFont="1" applyFill="1" applyBorder="1" applyAlignment="1"/>
    <xf numFmtId="0" fontId="6" fillId="3" borderId="6" xfId="3" applyFont="1" applyFill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3" borderId="7" xfId="0" applyFont="1" applyFill="1" applyBorder="1" applyAlignment="1">
      <alignment horizontal="center"/>
    </xf>
    <xf numFmtId="0" fontId="6" fillId="3" borderId="6" xfId="3" applyFont="1" applyFill="1" applyBorder="1" applyAlignment="1">
      <alignment horizontal="center" shrinkToFit="1"/>
    </xf>
    <xf numFmtId="0" fontId="8" fillId="4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6" xfId="3" applyFont="1" applyFill="1" applyBorder="1" applyAlignment="1"/>
    <xf numFmtId="0" fontId="8" fillId="5" borderId="6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 shrinkToFit="1"/>
    </xf>
    <xf numFmtId="49" fontId="7" fillId="5" borderId="6" xfId="0" applyNumberFormat="1" applyFont="1" applyFill="1" applyBorder="1" applyAlignment="1">
      <alignment horizontal="center" shrinkToFit="1"/>
    </xf>
    <xf numFmtId="49" fontId="7" fillId="3" borderId="6" xfId="0" applyNumberFormat="1" applyFont="1" applyFill="1" applyBorder="1" applyAlignment="1">
      <alignment horizontal="center" shrinkToFit="1"/>
    </xf>
    <xf numFmtId="176" fontId="6" fillId="3" borderId="3" xfId="0" applyNumberFormat="1" applyFont="1" applyFill="1" applyBorder="1" applyAlignment="1">
      <alignment horizontal="center"/>
    </xf>
    <xf numFmtId="176" fontId="10" fillId="3" borderId="6" xfId="0" applyNumberFormat="1" applyFont="1" applyFill="1" applyBorder="1" applyAlignment="1">
      <alignment horizontal="center" shrinkToFit="1"/>
    </xf>
    <xf numFmtId="176" fontId="6" fillId="3" borderId="6" xfId="0" applyNumberFormat="1" applyFont="1" applyFill="1" applyBorder="1" applyAlignment="1">
      <alignment horizontal="center" shrinkToFit="1"/>
    </xf>
    <xf numFmtId="0" fontId="13" fillId="3" borderId="6" xfId="0" applyFont="1" applyFill="1" applyBorder="1" applyAlignment="1"/>
    <xf numFmtId="0" fontId="6" fillId="3" borderId="10" xfId="0" applyFont="1" applyFill="1" applyBorder="1" applyAlignment="1">
      <alignment horizontal="center"/>
    </xf>
    <xf numFmtId="0" fontId="13" fillId="3" borderId="0" xfId="0" applyFont="1" applyFill="1" applyAlignment="1"/>
    <xf numFmtId="49" fontId="6" fillId="3" borderId="6" xfId="2" applyNumberFormat="1" applyFont="1" applyFill="1" applyBorder="1" applyAlignment="1">
      <alignment horizontal="center" shrinkToFit="1"/>
    </xf>
    <xf numFmtId="0" fontId="6" fillId="3" borderId="3" xfId="0" applyFont="1" applyFill="1" applyBorder="1" applyAlignment="1">
      <alignment horizontal="center"/>
    </xf>
    <xf numFmtId="177" fontId="6" fillId="3" borderId="6" xfId="0" applyNumberFormat="1" applyFont="1" applyFill="1" applyBorder="1" applyAlignment="1">
      <alignment horizontal="center" shrinkToFit="1"/>
    </xf>
    <xf numFmtId="0" fontId="6" fillId="3" borderId="2" xfId="0" applyFont="1" applyFill="1" applyBorder="1" applyAlignment="1">
      <alignment horizontal="center" wrapText="1"/>
    </xf>
    <xf numFmtId="49" fontId="6" fillId="3" borderId="6" xfId="0" quotePrefix="1" applyNumberFormat="1" applyFont="1" applyFill="1" applyBorder="1" applyAlignment="1">
      <alignment horizontal="center" shrinkToFit="1"/>
    </xf>
    <xf numFmtId="49" fontId="7" fillId="3" borderId="6" xfId="0" quotePrefix="1" applyNumberFormat="1" applyFont="1" applyFill="1" applyBorder="1" applyAlignment="1">
      <alignment horizontal="center" shrinkToFit="1"/>
    </xf>
    <xf numFmtId="0" fontId="6" fillId="3" borderId="4" xfId="0" applyFont="1" applyFill="1" applyBorder="1" applyAlignment="1">
      <alignment horizontal="center"/>
    </xf>
    <xf numFmtId="0" fontId="6" fillId="3" borderId="4" xfId="0" quotePrefix="1" applyFont="1" applyFill="1" applyBorder="1" applyAlignment="1">
      <alignment horizontal="center" wrapText="1"/>
    </xf>
    <xf numFmtId="0" fontId="8" fillId="3" borderId="6" xfId="0" applyFont="1" applyFill="1" applyBorder="1" applyAlignment="1"/>
    <xf numFmtId="0" fontId="8" fillId="3" borderId="0" xfId="0" applyFont="1" applyFill="1" applyAlignment="1"/>
    <xf numFmtId="176" fontId="6" fillId="3" borderId="6" xfId="0" quotePrefix="1" applyNumberFormat="1" applyFont="1" applyFill="1" applyBorder="1" applyAlignment="1">
      <alignment horizontal="center" wrapText="1"/>
    </xf>
    <xf numFmtId="0" fontId="6" fillId="3" borderId="3" xfId="0" quotePrefix="1" applyFont="1" applyFill="1" applyBorder="1" applyAlignment="1">
      <alignment horizontal="center" wrapText="1"/>
    </xf>
    <xf numFmtId="0" fontId="6" fillId="3" borderId="6" xfId="0" quotePrefix="1" applyFont="1" applyFill="1" applyBorder="1" applyAlignment="1">
      <alignment horizontal="center"/>
    </xf>
    <xf numFmtId="0" fontId="6" fillId="3" borderId="7" xfId="3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49" fontId="6" fillId="3" borderId="6" xfId="0" applyNumberFormat="1" applyFont="1" applyFill="1" applyBorder="1" applyAlignment="1">
      <alignment horizontal="right"/>
    </xf>
    <xf numFmtId="49" fontId="6" fillId="3" borderId="6" xfId="2" applyNumberFormat="1" applyFont="1" applyFill="1" applyBorder="1" applyAlignment="1">
      <alignment horizontal="right"/>
    </xf>
    <xf numFmtId="49" fontId="7" fillId="3" borderId="6" xfId="0" applyNumberFormat="1" applyFont="1" applyFill="1" applyBorder="1" applyAlignment="1">
      <alignment horizontal="right"/>
    </xf>
    <xf numFmtId="177" fontId="6" fillId="3" borderId="0" xfId="0" applyNumberFormat="1" applyFont="1" applyFill="1" applyAlignment="1">
      <alignment horizontal="center"/>
    </xf>
    <xf numFmtId="177" fontId="6" fillId="3" borderId="4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wrapText="1"/>
    </xf>
    <xf numFmtId="176" fontId="6" fillId="3" borderId="8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4" xfId="0" quotePrefix="1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176" fontId="8" fillId="3" borderId="6" xfId="2" applyNumberFormat="1" applyFont="1" applyFill="1" applyBorder="1" applyAlignment="1">
      <alignment horizontal="right"/>
    </xf>
    <xf numFmtId="0" fontId="8" fillId="3" borderId="6" xfId="3" applyFont="1" applyFill="1" applyBorder="1" applyAlignment="1">
      <alignment horizontal="center" wrapText="1"/>
    </xf>
    <xf numFmtId="0" fontId="8" fillId="3" borderId="7" xfId="3" applyFont="1" applyFill="1" applyBorder="1" applyAlignment="1">
      <alignment horizontal="center" wrapText="1"/>
    </xf>
    <xf numFmtId="0" fontId="10" fillId="3" borderId="8" xfId="0" applyFont="1" applyFill="1" applyBorder="1" applyAlignment="1">
      <alignment horizontal="center"/>
    </xf>
    <xf numFmtId="0" fontId="7" fillId="3" borderId="9" xfId="0" applyFont="1" applyFill="1" applyBorder="1" applyAlignment="1"/>
    <xf numFmtId="0" fontId="2" fillId="2" borderId="1" xfId="0" applyFont="1" applyFill="1" applyBorder="1" applyAlignment="1">
      <alignment horizontal="center" vertical="center" shrinkToFit="1"/>
    </xf>
    <xf numFmtId="0" fontId="7" fillId="0" borderId="6" xfId="0" applyFont="1" applyBorder="1" applyAlignment="1">
      <alignment horizontal="center" shrinkToFit="1"/>
    </xf>
    <xf numFmtId="0" fontId="0" fillId="0" borderId="0" xfId="0" applyAlignment="1">
      <alignment vertical="center" shrinkToFit="1"/>
    </xf>
    <xf numFmtId="49" fontId="1" fillId="2" borderId="1" xfId="0" applyNumberFormat="1" applyFont="1" applyFill="1" applyBorder="1" applyAlignment="1">
      <alignment horizontal="center" vertical="center" shrinkToFit="1"/>
    </xf>
    <xf numFmtId="0" fontId="6" fillId="3" borderId="2" xfId="0" applyFont="1" applyFill="1" applyBorder="1" applyAlignment="1">
      <alignment horizontal="center" shrinkToFit="1"/>
    </xf>
    <xf numFmtId="0" fontId="6" fillId="3" borderId="3" xfId="0" applyFont="1" applyFill="1" applyBorder="1" applyAlignment="1">
      <alignment horizontal="center" shrinkToFit="1"/>
    </xf>
    <xf numFmtId="0" fontId="8" fillId="3" borderId="6" xfId="2" applyFont="1" applyFill="1" applyBorder="1" applyAlignment="1">
      <alignment horizontal="center" shrinkToFit="1"/>
    </xf>
    <xf numFmtId="0" fontId="6" fillId="3" borderId="6" xfId="2" applyFont="1" applyFill="1" applyBorder="1" applyAlignment="1">
      <alignment horizontal="center" shrinkToFit="1"/>
    </xf>
    <xf numFmtId="178" fontId="8" fillId="3" borderId="6" xfId="0" applyNumberFormat="1" applyFont="1" applyFill="1" applyBorder="1" applyAlignment="1">
      <alignment horizontal="center" shrinkToFit="1"/>
    </xf>
    <xf numFmtId="0" fontId="7" fillId="4" borderId="6" xfId="0" applyFont="1" applyFill="1" applyBorder="1" applyAlignment="1"/>
    <xf numFmtId="0" fontId="8" fillId="4" borderId="6" xfId="3" applyFont="1" applyFill="1" applyBorder="1" applyAlignment="1">
      <alignment horizontal="center" shrinkToFit="1"/>
    </xf>
    <xf numFmtId="49" fontId="6" fillId="5" borderId="6" xfId="0" applyNumberFormat="1" applyFont="1" applyFill="1" applyBorder="1" applyAlignment="1">
      <alignment horizontal="center" shrinkToFit="1"/>
    </xf>
    <xf numFmtId="178" fontId="8" fillId="5" borderId="6" xfId="5" applyNumberFormat="1" applyFont="1" applyFill="1" applyBorder="1" applyAlignment="1">
      <alignment horizontal="center" shrinkToFit="1"/>
    </xf>
    <xf numFmtId="0" fontId="8" fillId="5" borderId="6" xfId="5" applyFont="1" applyFill="1" applyBorder="1" applyAlignment="1">
      <alignment horizontal="center" shrinkToFit="1"/>
    </xf>
    <xf numFmtId="0" fontId="7" fillId="5" borderId="6" xfId="1" applyFont="1" applyFill="1" applyBorder="1" applyAlignment="1">
      <alignment horizontal="center" shrinkToFit="1"/>
    </xf>
    <xf numFmtId="0" fontId="8" fillId="5" borderId="6" xfId="3" applyFont="1" applyFill="1" applyBorder="1" applyAlignment="1">
      <alignment horizontal="center" shrinkToFit="1"/>
    </xf>
    <xf numFmtId="0" fontId="6" fillId="5" borderId="6" xfId="0" applyFont="1" applyFill="1" applyBorder="1" applyAlignment="1">
      <alignment horizontal="center" shrinkToFit="1"/>
    </xf>
    <xf numFmtId="0" fontId="7" fillId="5" borderId="0" xfId="0" applyFont="1" applyFill="1" applyAlignment="1"/>
    <xf numFmtId="0" fontId="7" fillId="5" borderId="6" xfId="0" applyFont="1" applyFill="1" applyBorder="1" applyAlignment="1"/>
    <xf numFmtId="0" fontId="7" fillId="4" borderId="6" xfId="0" applyFont="1" applyFill="1" applyBorder="1" applyAlignment="1">
      <alignment horizontal="center"/>
    </xf>
    <xf numFmtId="176" fontId="7" fillId="3" borderId="6" xfId="0" applyNumberFormat="1" applyFont="1" applyFill="1" applyBorder="1" applyAlignment="1">
      <alignment horizontal="center" shrinkToFit="1"/>
    </xf>
    <xf numFmtId="176" fontId="8" fillId="3" borderId="6" xfId="0" applyNumberFormat="1" applyFont="1" applyFill="1" applyBorder="1" applyAlignment="1">
      <alignment horizontal="center" shrinkToFit="1"/>
    </xf>
    <xf numFmtId="176" fontId="6" fillId="5" borderId="6" xfId="0" applyNumberFormat="1" applyFont="1" applyFill="1" applyBorder="1" applyAlignment="1">
      <alignment horizontal="center" shrinkToFit="1"/>
    </xf>
    <xf numFmtId="176" fontId="7" fillId="3" borderId="6" xfId="0" applyNumberFormat="1" applyFont="1" applyFill="1" applyBorder="1" applyAlignment="1">
      <alignment horizontal="center"/>
    </xf>
    <xf numFmtId="176" fontId="7" fillId="0" borderId="6" xfId="0" applyNumberFormat="1" applyFont="1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0" fontId="8" fillId="4" borderId="6" xfId="3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 shrinkToFit="1"/>
    </xf>
    <xf numFmtId="176" fontId="7" fillId="5" borderId="6" xfId="0" applyNumberFormat="1" applyFont="1" applyFill="1" applyBorder="1" applyAlignment="1">
      <alignment horizontal="center"/>
    </xf>
    <xf numFmtId="178" fontId="8" fillId="5" borderId="6" xfId="5" applyNumberFormat="1" applyFont="1" applyFill="1" applyBorder="1" applyAlignment="1">
      <alignment horizontal="center"/>
    </xf>
    <xf numFmtId="0" fontId="8" fillId="5" borderId="6" xfId="3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6" fillId="4" borderId="6" xfId="3" applyFont="1" applyFill="1" applyBorder="1" applyAlignment="1">
      <alignment horizontal="center"/>
    </xf>
    <xf numFmtId="0" fontId="7" fillId="4" borderId="9" xfId="0" applyFont="1" applyFill="1" applyBorder="1" applyAlignment="1"/>
    <xf numFmtId="0" fontId="8" fillId="4" borderId="6" xfId="0" applyFont="1" applyFill="1" applyBorder="1" applyAlignment="1"/>
    <xf numFmtId="176" fontId="8" fillId="5" borderId="6" xfId="0" applyNumberFormat="1" applyFont="1" applyFill="1" applyBorder="1" applyAlignment="1">
      <alignment horizontal="center"/>
    </xf>
    <xf numFmtId="176" fontId="8" fillId="5" borderId="6" xfId="0" applyNumberFormat="1" applyFont="1" applyFill="1" applyBorder="1" applyAlignment="1">
      <alignment horizontal="center" wrapText="1"/>
    </xf>
    <xf numFmtId="49" fontId="7" fillId="5" borderId="6" xfId="0" applyNumberFormat="1" applyFont="1" applyFill="1" applyBorder="1" applyAlignment="1">
      <alignment horizontal="center"/>
    </xf>
    <xf numFmtId="0" fontId="8" fillId="5" borderId="6" xfId="0" applyFont="1" applyFill="1" applyBorder="1" applyAlignment="1"/>
    <xf numFmtId="0" fontId="8" fillId="5" borderId="6" xfId="0" quotePrefix="1" applyFont="1" applyFill="1" applyBorder="1" applyAlignment="1">
      <alignment horizontal="center" wrapText="1"/>
    </xf>
    <xf numFmtId="0" fontId="8" fillId="5" borderId="0" xfId="0" applyFont="1" applyFill="1" applyAlignment="1"/>
    <xf numFmtId="0" fontId="6" fillId="4" borderId="6" xfId="3" applyFont="1" applyFill="1" applyBorder="1" applyAlignment="1">
      <alignment horizontal="center" wrapText="1"/>
    </xf>
    <xf numFmtId="178" fontId="8" fillId="5" borderId="6" xfId="0" applyNumberFormat="1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8" fillId="4" borderId="7" xfId="0" applyFont="1" applyFill="1" applyBorder="1" applyAlignment="1">
      <alignment horizontal="center"/>
    </xf>
    <xf numFmtId="49" fontId="7" fillId="5" borderId="6" xfId="0" quotePrefix="1" applyNumberFormat="1" applyFont="1" applyFill="1" applyBorder="1" applyAlignment="1">
      <alignment horizontal="center" shrinkToFit="1"/>
    </xf>
    <xf numFmtId="49" fontId="8" fillId="5" borderId="6" xfId="0" applyNumberFormat="1" applyFont="1" applyFill="1" applyBorder="1" applyAlignment="1">
      <alignment horizontal="center" shrinkToFit="1"/>
    </xf>
    <xf numFmtId="0" fontId="8" fillId="5" borderId="7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6" xfId="3" applyFont="1" applyFill="1" applyBorder="1" applyAlignment="1"/>
    <xf numFmtId="176" fontId="6" fillId="3" borderId="8" xfId="0" applyNumberFormat="1" applyFont="1" applyFill="1" applyBorder="1" applyAlignment="1">
      <alignment horizontal="right"/>
    </xf>
    <xf numFmtId="0" fontId="0" fillId="0" borderId="0" xfId="0" applyAlignment="1">
      <alignment horizontal="left" vertical="center"/>
    </xf>
    <xf numFmtId="0" fontId="7" fillId="5" borderId="0" xfId="0" applyFont="1" applyFill="1" applyAlignment="1">
      <alignment horizontal="left"/>
    </xf>
    <xf numFmtId="49" fontId="7" fillId="5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8" fillId="5" borderId="0" xfId="0" applyFont="1" applyFill="1" applyAlignment="1">
      <alignment horizontal="left"/>
    </xf>
    <xf numFmtId="49" fontId="8" fillId="6" borderId="6" xfId="0" applyNumberFormat="1" applyFont="1" applyFill="1" applyBorder="1" applyAlignment="1">
      <alignment horizontal="center" shrinkToFit="1"/>
    </xf>
    <xf numFmtId="176" fontId="8" fillId="6" borderId="6" xfId="0" applyNumberFormat="1" applyFont="1" applyFill="1" applyBorder="1" applyAlignment="1">
      <alignment horizontal="center" shrinkToFit="1"/>
    </xf>
    <xf numFmtId="178" fontId="8" fillId="6" borderId="6" xfId="5" applyNumberFormat="1" applyFont="1" applyFill="1" applyBorder="1" applyAlignment="1">
      <alignment horizontal="center" shrinkToFit="1"/>
    </xf>
    <xf numFmtId="0" fontId="8" fillId="6" borderId="6" xfId="5" applyFont="1" applyFill="1" applyBorder="1" applyAlignment="1">
      <alignment horizontal="center" shrinkToFit="1"/>
    </xf>
    <xf numFmtId="0" fontId="8" fillId="6" borderId="6" xfId="0" applyFont="1" applyFill="1" applyBorder="1" applyAlignment="1">
      <alignment horizontal="center" shrinkToFit="1"/>
    </xf>
    <xf numFmtId="0" fontId="7" fillId="6" borderId="6" xfId="1" applyFont="1" applyFill="1" applyBorder="1" applyAlignment="1">
      <alignment horizontal="center" shrinkToFit="1"/>
    </xf>
    <xf numFmtId="0" fontId="8" fillId="6" borderId="6" xfId="3" applyFont="1" applyFill="1" applyBorder="1" applyAlignment="1">
      <alignment horizontal="center" shrinkToFit="1"/>
    </xf>
    <xf numFmtId="0" fontId="7" fillId="6" borderId="0" xfId="0" applyFont="1" applyFill="1" applyAlignment="1">
      <alignment horizontal="left"/>
    </xf>
    <xf numFmtId="0" fontId="7" fillId="6" borderId="0" xfId="0" applyFont="1" applyFill="1" applyAlignment="1"/>
    <xf numFmtId="49" fontId="6" fillId="6" borderId="6" xfId="0" applyNumberFormat="1" applyFont="1" applyFill="1" applyBorder="1" applyAlignment="1">
      <alignment horizontal="center" shrinkToFit="1"/>
    </xf>
    <xf numFmtId="176" fontId="6" fillId="6" borderId="6" xfId="0" applyNumberFormat="1" applyFont="1" applyFill="1" applyBorder="1" applyAlignment="1">
      <alignment horizontal="center" shrinkToFit="1"/>
    </xf>
    <xf numFmtId="0" fontId="7" fillId="6" borderId="6" xfId="0" applyFont="1" applyFill="1" applyBorder="1" applyAlignment="1">
      <alignment horizontal="center" shrinkToFit="1"/>
    </xf>
    <xf numFmtId="176" fontId="7" fillId="6" borderId="6" xfId="0" applyNumberFormat="1" applyFont="1" applyFill="1" applyBorder="1" applyAlignment="1">
      <alignment horizontal="center"/>
    </xf>
    <xf numFmtId="178" fontId="8" fillId="6" borderId="6" xfId="5" applyNumberFormat="1" applyFont="1" applyFill="1" applyBorder="1" applyAlignment="1">
      <alignment horizontal="center"/>
    </xf>
    <xf numFmtId="0" fontId="8" fillId="6" borderId="6" xfId="3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176" fontId="8" fillId="6" borderId="6" xfId="0" applyNumberFormat="1" applyFont="1" applyFill="1" applyBorder="1" applyAlignment="1">
      <alignment horizontal="center"/>
    </xf>
    <xf numFmtId="176" fontId="8" fillId="6" borderId="6" xfId="0" applyNumberFormat="1" applyFont="1" applyFill="1" applyBorder="1" applyAlignment="1">
      <alignment horizontal="center" wrapText="1"/>
    </xf>
    <xf numFmtId="49" fontId="7" fillId="6" borderId="6" xfId="0" applyNumberFormat="1" applyFont="1" applyFill="1" applyBorder="1" applyAlignment="1">
      <alignment horizontal="center"/>
    </xf>
    <xf numFmtId="49" fontId="7" fillId="6" borderId="6" xfId="0" applyNumberFormat="1" applyFont="1" applyFill="1" applyBorder="1" applyAlignment="1">
      <alignment horizontal="center" shrinkToFit="1"/>
    </xf>
    <xf numFmtId="0" fontId="8" fillId="6" borderId="6" xfId="0" quotePrefix="1" applyFont="1" applyFill="1" applyBorder="1" applyAlignment="1">
      <alignment horizontal="center" wrapText="1"/>
    </xf>
    <xf numFmtId="49" fontId="7" fillId="6" borderId="6" xfId="0" quotePrefix="1" applyNumberFormat="1" applyFont="1" applyFill="1" applyBorder="1" applyAlignment="1">
      <alignment horizontal="center" shrinkToFit="1"/>
    </xf>
    <xf numFmtId="0" fontId="7" fillId="6" borderId="6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178" fontId="8" fillId="6" borderId="6" xfId="0" applyNumberFormat="1" applyFont="1" applyFill="1" applyBorder="1" applyAlignment="1">
      <alignment horizontal="right"/>
    </xf>
    <xf numFmtId="0" fontId="7" fillId="7" borderId="6" xfId="0" applyFont="1" applyFill="1" applyBorder="1" applyAlignment="1">
      <alignment horizontal="center" shrinkToFit="1"/>
    </xf>
    <xf numFmtId="176" fontId="7" fillId="7" borderId="6" xfId="0" applyNumberFormat="1" applyFont="1" applyFill="1" applyBorder="1" applyAlignment="1">
      <alignment horizontal="center" shrinkToFit="1"/>
    </xf>
    <xf numFmtId="178" fontId="8" fillId="7" borderId="6" xfId="5" applyNumberFormat="1" applyFont="1" applyFill="1" applyBorder="1" applyAlignment="1">
      <alignment horizontal="center" shrinkToFit="1"/>
    </xf>
    <xf numFmtId="0" fontId="8" fillId="7" borderId="6" xfId="5" applyFont="1" applyFill="1" applyBorder="1" applyAlignment="1">
      <alignment horizontal="center" shrinkToFit="1"/>
    </xf>
    <xf numFmtId="0" fontId="8" fillId="7" borderId="6" xfId="0" applyFont="1" applyFill="1" applyBorder="1" applyAlignment="1">
      <alignment horizontal="center" shrinkToFit="1"/>
    </xf>
    <xf numFmtId="0" fontId="8" fillId="7" borderId="6" xfId="6" applyFont="1" applyFill="1" applyBorder="1" applyAlignment="1">
      <alignment horizontal="center" shrinkToFit="1"/>
    </xf>
    <xf numFmtId="0" fontId="7" fillId="7" borderId="0" xfId="0" applyFont="1" applyFill="1" applyAlignment="1">
      <alignment horizontal="left"/>
    </xf>
    <xf numFmtId="0" fontId="7" fillId="7" borderId="0" xfId="0" applyFont="1" applyFill="1" applyAlignment="1"/>
    <xf numFmtId="178" fontId="8" fillId="7" borderId="6" xfId="3" applyNumberFormat="1" applyFont="1" applyFill="1" applyBorder="1" applyAlignment="1">
      <alignment horizontal="center" shrinkToFit="1"/>
    </xf>
    <xf numFmtId="0" fontId="7" fillId="8" borderId="6" xfId="0" applyFont="1" applyFill="1" applyBorder="1" applyAlignment="1">
      <alignment horizontal="center" shrinkToFit="1"/>
    </xf>
    <xf numFmtId="176" fontId="7" fillId="8" borderId="6" xfId="0" applyNumberFormat="1" applyFont="1" applyFill="1" applyBorder="1" applyAlignment="1">
      <alignment horizontal="center"/>
    </xf>
    <xf numFmtId="178" fontId="8" fillId="8" borderId="6" xfId="5" applyNumberFormat="1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6" xfId="5" applyFont="1" applyFill="1" applyBorder="1" applyAlignment="1">
      <alignment horizontal="center" shrinkToFit="1"/>
    </xf>
    <xf numFmtId="0" fontId="7" fillId="8" borderId="0" xfId="0" applyFont="1" applyFill="1" applyAlignment="1">
      <alignment horizontal="left"/>
    </xf>
    <xf numFmtId="0" fontId="7" fillId="8" borderId="0" xfId="0" applyFont="1" applyFill="1" applyAlignment="1"/>
    <xf numFmtId="0" fontId="8" fillId="8" borderId="6" xfId="0" applyFont="1" applyFill="1" applyBorder="1" applyAlignment="1">
      <alignment horizontal="center" shrinkToFit="1"/>
    </xf>
    <xf numFmtId="176" fontId="8" fillId="8" borderId="6" xfId="0" applyNumberFormat="1" applyFont="1" applyFill="1" applyBorder="1" applyAlignment="1">
      <alignment horizontal="center"/>
    </xf>
    <xf numFmtId="49" fontId="8" fillId="8" borderId="6" xfId="0" applyNumberFormat="1" applyFont="1" applyFill="1" applyBorder="1" applyAlignment="1">
      <alignment horizontal="center" shrinkToFit="1"/>
    </xf>
    <xf numFmtId="0" fontId="8" fillId="8" borderId="6" xfId="0" quotePrefix="1" applyFont="1" applyFill="1" applyBorder="1" applyAlignment="1">
      <alignment horizontal="center" wrapText="1"/>
    </xf>
    <xf numFmtId="49" fontId="8" fillId="8" borderId="0" xfId="0" applyNumberFormat="1" applyFont="1" applyFill="1" applyAlignment="1">
      <alignment horizontal="left"/>
    </xf>
    <xf numFmtId="0" fontId="8" fillId="8" borderId="0" xfId="0" applyFont="1" applyFill="1" applyAlignment="1">
      <alignment horizontal="left"/>
    </xf>
    <xf numFmtId="0" fontId="8" fillId="8" borderId="0" xfId="0" applyFont="1" applyFill="1" applyAlignment="1"/>
    <xf numFmtId="0" fontId="7" fillId="8" borderId="0" xfId="0" applyFont="1" applyFill="1" applyAlignment="1">
      <alignment horizontal="center"/>
    </xf>
    <xf numFmtId="178" fontId="8" fillId="8" borderId="8" xfId="5" applyNumberFormat="1" applyFont="1" applyFill="1" applyBorder="1" applyAlignment="1">
      <alignment horizontal="center"/>
    </xf>
    <xf numFmtId="176" fontId="18" fillId="8" borderId="3" xfId="0" applyNumberFormat="1" applyFont="1" applyFill="1" applyBorder="1" applyAlignment="1">
      <alignment horizontal="center"/>
    </xf>
    <xf numFmtId="178" fontId="8" fillId="8" borderId="3" xfId="5" applyNumberFormat="1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 shrinkToFit="1"/>
    </xf>
    <xf numFmtId="176" fontId="6" fillId="9" borderId="6" xfId="0" applyNumberFormat="1" applyFont="1" applyFill="1" applyBorder="1" applyAlignment="1">
      <alignment horizontal="center" shrinkToFit="1"/>
    </xf>
    <xf numFmtId="0" fontId="8" fillId="9" borderId="6" xfId="5" applyFont="1" applyFill="1" applyBorder="1" applyAlignment="1">
      <alignment horizontal="center" shrinkToFit="1"/>
    </xf>
    <xf numFmtId="0" fontId="7" fillId="9" borderId="6" xfId="0" applyFont="1" applyFill="1" applyBorder="1" applyAlignment="1"/>
    <xf numFmtId="0" fontId="7" fillId="9" borderId="0" xfId="0" applyFont="1" applyFill="1" applyAlignment="1">
      <alignment horizontal="left"/>
    </xf>
    <xf numFmtId="0" fontId="7" fillId="9" borderId="0" xfId="0" applyFont="1" applyFill="1" applyAlignment="1"/>
    <xf numFmtId="0" fontId="7" fillId="9" borderId="6" xfId="0" applyFont="1" applyFill="1" applyBorder="1" applyAlignment="1">
      <alignment horizontal="center" shrinkToFit="1"/>
    </xf>
    <xf numFmtId="176" fontId="7" fillId="9" borderId="6" xfId="0" applyNumberFormat="1" applyFont="1" applyFill="1" applyBorder="1" applyAlignment="1">
      <alignment horizontal="center" shrinkToFit="1"/>
    </xf>
    <xf numFmtId="178" fontId="8" fillId="9" borderId="6" xfId="5" applyNumberFormat="1" applyFont="1" applyFill="1" applyBorder="1" applyAlignment="1">
      <alignment horizontal="center" shrinkToFit="1"/>
    </xf>
    <xf numFmtId="0" fontId="8" fillId="3" borderId="6" xfId="3" applyFont="1" applyFill="1" applyBorder="1" applyAlignment="1">
      <alignment horizontal="center"/>
    </xf>
    <xf numFmtId="0" fontId="8" fillId="4" borderId="6" xfId="3" applyFont="1" applyFill="1" applyBorder="1" applyAlignment="1">
      <alignment horizontal="center"/>
    </xf>
  </cellXfs>
  <cellStyles count="7">
    <cellStyle name="常规" xfId="0" builtinId="0"/>
    <cellStyle name="常规 139" xfId="4" xr:uid="{1B76EDB2-9D3B-4A06-ACA9-7A582AA99D22}"/>
    <cellStyle name="常规 2" xfId="3" xr:uid="{00000000-0005-0000-0000-000001000000}"/>
    <cellStyle name="常规 2 2" xfId="6" xr:uid="{BB6B4BA8-3C8C-47DE-AD7C-F24D136C139A}"/>
    <cellStyle name="常规 3" xfId="1" xr:uid="{00000000-0005-0000-0000-000002000000}"/>
    <cellStyle name="常规 4" xfId="2" xr:uid="{00000000-0005-0000-0000-000003000000}"/>
    <cellStyle name="常规 7" xfId="5" xr:uid="{3ED7A1E7-3548-4455-B04A-5F40F71C325D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1047750</xdr:colOff>
      <xdr:row>0</xdr:row>
      <xdr:rowOff>0</xdr:rowOff>
    </xdr:from>
    <xdr:to>
      <xdr:col>4</xdr:col>
      <xdr:colOff>69476</xdr:colOff>
      <xdr:row>1</xdr:row>
      <xdr:rowOff>196665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7BEECF6-8793-47C8-9558-7DACB1B0BF4A}"/>
            </a:ext>
          </a:extLst>
        </xdr:cNvPr>
        <xdr:cNvSpPr txBox="1">
          <a:spLocks noChangeArrowheads="1"/>
        </xdr:cNvSpPr>
      </xdr:nvSpPr>
      <xdr:spPr bwMode="auto">
        <a:xfrm>
          <a:off x="4095750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0</xdr:row>
      <xdr:rowOff>0</xdr:rowOff>
    </xdr:from>
    <xdr:to>
      <xdr:col>4</xdr:col>
      <xdr:colOff>69476</xdr:colOff>
      <xdr:row>1</xdr:row>
      <xdr:rowOff>196665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9E368F4-18D0-4ED0-9BA0-85A6A7DFC87D}"/>
            </a:ext>
          </a:extLst>
        </xdr:cNvPr>
        <xdr:cNvSpPr txBox="1">
          <a:spLocks noChangeArrowheads="1"/>
        </xdr:cNvSpPr>
      </xdr:nvSpPr>
      <xdr:spPr bwMode="auto">
        <a:xfrm>
          <a:off x="4095750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0</xdr:row>
      <xdr:rowOff>0</xdr:rowOff>
    </xdr:from>
    <xdr:to>
      <xdr:col>4</xdr:col>
      <xdr:colOff>69476</xdr:colOff>
      <xdr:row>1</xdr:row>
      <xdr:rowOff>196665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DB455F7-46E6-44FC-ADAF-E36036F071B5}"/>
            </a:ext>
          </a:extLst>
        </xdr:cNvPr>
        <xdr:cNvSpPr txBox="1">
          <a:spLocks noChangeArrowheads="1"/>
        </xdr:cNvSpPr>
      </xdr:nvSpPr>
      <xdr:spPr bwMode="auto">
        <a:xfrm>
          <a:off x="4095750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0</xdr:row>
      <xdr:rowOff>0</xdr:rowOff>
    </xdr:from>
    <xdr:to>
      <xdr:col>4</xdr:col>
      <xdr:colOff>69476</xdr:colOff>
      <xdr:row>1</xdr:row>
      <xdr:rowOff>196665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8203C4ED-6C03-4509-BC20-4D3A1C3722D2}"/>
            </a:ext>
          </a:extLst>
        </xdr:cNvPr>
        <xdr:cNvSpPr txBox="1">
          <a:spLocks noChangeArrowheads="1"/>
        </xdr:cNvSpPr>
      </xdr:nvSpPr>
      <xdr:spPr bwMode="auto">
        <a:xfrm>
          <a:off x="4095750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1047750</xdr:colOff>
      <xdr:row>121</xdr:row>
      <xdr:rowOff>0</xdr:rowOff>
    </xdr:from>
    <xdr:to>
      <xdr:col>7</xdr:col>
      <xdr:colOff>66550</xdr:colOff>
      <xdr:row>122</xdr:row>
      <xdr:rowOff>187140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8B59A779-047B-4914-B903-127C7F94D748}"/>
            </a:ext>
          </a:extLst>
        </xdr:cNvPr>
        <xdr:cNvSpPr txBox="1">
          <a:spLocks noChangeArrowheads="1"/>
        </xdr:cNvSpPr>
      </xdr:nvSpPr>
      <xdr:spPr bwMode="auto">
        <a:xfrm>
          <a:off x="4362450" y="647700"/>
          <a:ext cx="68791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1047750</xdr:colOff>
      <xdr:row>121</xdr:row>
      <xdr:rowOff>0</xdr:rowOff>
    </xdr:from>
    <xdr:to>
      <xdr:col>7</xdr:col>
      <xdr:colOff>66550</xdr:colOff>
      <xdr:row>122</xdr:row>
      <xdr:rowOff>187140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715E1CF7-C60D-4BE9-A288-398A70755756}"/>
            </a:ext>
          </a:extLst>
        </xdr:cNvPr>
        <xdr:cNvSpPr txBox="1">
          <a:spLocks noChangeArrowheads="1"/>
        </xdr:cNvSpPr>
      </xdr:nvSpPr>
      <xdr:spPr bwMode="auto">
        <a:xfrm>
          <a:off x="4362450" y="647700"/>
          <a:ext cx="68791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21247</xdr:colOff>
      <xdr:row>121</xdr:row>
      <xdr:rowOff>7327</xdr:rowOff>
    </xdr:from>
    <xdr:to>
      <xdr:col>7</xdr:col>
      <xdr:colOff>90771</xdr:colOff>
      <xdr:row>122</xdr:row>
      <xdr:rowOff>194467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C98BA433-3147-4E46-8250-3773D9F52B73}"/>
            </a:ext>
          </a:extLst>
        </xdr:cNvPr>
        <xdr:cNvSpPr txBox="1">
          <a:spLocks noChangeArrowheads="1"/>
        </xdr:cNvSpPr>
      </xdr:nvSpPr>
      <xdr:spPr bwMode="auto">
        <a:xfrm>
          <a:off x="4383697" y="655027"/>
          <a:ext cx="69524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121</xdr:row>
      <xdr:rowOff>0</xdr:rowOff>
    </xdr:from>
    <xdr:to>
      <xdr:col>2</xdr:col>
      <xdr:colOff>1114425</xdr:colOff>
      <xdr:row>122</xdr:row>
      <xdr:rowOff>187140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DD8F93E-0DF6-4607-B0DD-CA358880DB35}"/>
            </a:ext>
          </a:extLst>
        </xdr:cNvPr>
        <xdr:cNvSpPr txBox="1">
          <a:spLocks noChangeArrowheads="1"/>
        </xdr:cNvSpPr>
      </xdr:nvSpPr>
      <xdr:spPr bwMode="auto">
        <a:xfrm>
          <a:off x="2600325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121</xdr:row>
      <xdr:rowOff>0</xdr:rowOff>
    </xdr:from>
    <xdr:to>
      <xdr:col>2</xdr:col>
      <xdr:colOff>1114425</xdr:colOff>
      <xdr:row>122</xdr:row>
      <xdr:rowOff>187140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B7F15DC2-918E-4BFF-8359-26166F9716B6}"/>
            </a:ext>
          </a:extLst>
        </xdr:cNvPr>
        <xdr:cNvSpPr txBox="1">
          <a:spLocks noChangeArrowheads="1"/>
        </xdr:cNvSpPr>
      </xdr:nvSpPr>
      <xdr:spPr bwMode="auto">
        <a:xfrm>
          <a:off x="2600325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121</xdr:row>
      <xdr:rowOff>0</xdr:rowOff>
    </xdr:from>
    <xdr:to>
      <xdr:col>2</xdr:col>
      <xdr:colOff>1114425</xdr:colOff>
      <xdr:row>122</xdr:row>
      <xdr:rowOff>187140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4394EC6B-B0FF-4485-A356-2E7431EAEDF6}"/>
            </a:ext>
          </a:extLst>
        </xdr:cNvPr>
        <xdr:cNvSpPr txBox="1">
          <a:spLocks noChangeArrowheads="1"/>
        </xdr:cNvSpPr>
      </xdr:nvSpPr>
      <xdr:spPr bwMode="auto">
        <a:xfrm>
          <a:off x="2600325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121</xdr:row>
      <xdr:rowOff>0</xdr:rowOff>
    </xdr:from>
    <xdr:to>
      <xdr:col>2</xdr:col>
      <xdr:colOff>1114425</xdr:colOff>
      <xdr:row>122</xdr:row>
      <xdr:rowOff>187140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74ACB010-11F9-408A-AFC1-3DB4E0DB010F}"/>
            </a:ext>
          </a:extLst>
        </xdr:cNvPr>
        <xdr:cNvSpPr txBox="1">
          <a:spLocks noChangeArrowheads="1"/>
        </xdr:cNvSpPr>
      </xdr:nvSpPr>
      <xdr:spPr bwMode="auto">
        <a:xfrm>
          <a:off x="2600325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1047750</xdr:colOff>
      <xdr:row>123</xdr:row>
      <xdr:rowOff>0</xdr:rowOff>
    </xdr:from>
    <xdr:ext cx="66675" cy="43479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6ABAC4A-BF51-45E3-8786-D1D072276180}"/>
            </a:ext>
          </a:extLst>
        </xdr:cNvPr>
        <xdr:cNvSpPr txBox="1">
          <a:spLocks noChangeArrowheads="1"/>
        </xdr:cNvSpPr>
      </xdr:nvSpPr>
      <xdr:spPr bwMode="auto">
        <a:xfrm>
          <a:off x="2600325" y="8286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123</xdr:row>
      <xdr:rowOff>0</xdr:rowOff>
    </xdr:from>
    <xdr:ext cx="66675" cy="434790"/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D92B2E64-D270-4C92-82BF-A7ADFBC58D87}"/>
            </a:ext>
          </a:extLst>
        </xdr:cNvPr>
        <xdr:cNvSpPr txBox="1">
          <a:spLocks noChangeArrowheads="1"/>
        </xdr:cNvSpPr>
      </xdr:nvSpPr>
      <xdr:spPr bwMode="auto">
        <a:xfrm>
          <a:off x="2600325" y="8286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123</xdr:row>
      <xdr:rowOff>0</xdr:rowOff>
    </xdr:from>
    <xdr:ext cx="66675" cy="434790"/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81ED6A1E-B7E9-42DC-AC5B-A473F8206D4A}"/>
            </a:ext>
          </a:extLst>
        </xdr:cNvPr>
        <xdr:cNvSpPr txBox="1">
          <a:spLocks noChangeArrowheads="1"/>
        </xdr:cNvSpPr>
      </xdr:nvSpPr>
      <xdr:spPr bwMode="auto">
        <a:xfrm>
          <a:off x="2600325" y="8286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123</xdr:row>
      <xdr:rowOff>0</xdr:rowOff>
    </xdr:from>
    <xdr:ext cx="66675" cy="434790"/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4C12F290-8F39-4625-BC74-BB9DFF582F4C}"/>
            </a:ext>
          </a:extLst>
        </xdr:cNvPr>
        <xdr:cNvSpPr txBox="1">
          <a:spLocks noChangeArrowheads="1"/>
        </xdr:cNvSpPr>
      </xdr:nvSpPr>
      <xdr:spPr bwMode="auto">
        <a:xfrm>
          <a:off x="2600325" y="10096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123</xdr:row>
      <xdr:rowOff>0</xdr:rowOff>
    </xdr:from>
    <xdr:ext cx="66675" cy="434790"/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B43AFAE9-C863-42DF-8008-6A2126FFCFAE}"/>
            </a:ext>
          </a:extLst>
        </xdr:cNvPr>
        <xdr:cNvSpPr txBox="1">
          <a:spLocks noChangeArrowheads="1"/>
        </xdr:cNvSpPr>
      </xdr:nvSpPr>
      <xdr:spPr bwMode="auto">
        <a:xfrm>
          <a:off x="2600325" y="10096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123</xdr:row>
      <xdr:rowOff>0</xdr:rowOff>
    </xdr:from>
    <xdr:ext cx="66675" cy="434790"/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D9D6760C-14DF-4233-8268-5E6834F565CB}"/>
            </a:ext>
          </a:extLst>
        </xdr:cNvPr>
        <xdr:cNvSpPr txBox="1">
          <a:spLocks noChangeArrowheads="1"/>
        </xdr:cNvSpPr>
      </xdr:nvSpPr>
      <xdr:spPr bwMode="auto">
        <a:xfrm>
          <a:off x="2600325" y="10096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123</xdr:row>
      <xdr:rowOff>0</xdr:rowOff>
    </xdr:from>
    <xdr:ext cx="66675" cy="434790"/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6B624569-24CA-4B66-8F83-A6786771E51A}"/>
            </a:ext>
          </a:extLst>
        </xdr:cNvPr>
        <xdr:cNvSpPr txBox="1">
          <a:spLocks noChangeArrowheads="1"/>
        </xdr:cNvSpPr>
      </xdr:nvSpPr>
      <xdr:spPr bwMode="auto">
        <a:xfrm>
          <a:off x="2600325" y="10096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123</xdr:row>
      <xdr:rowOff>0</xdr:rowOff>
    </xdr:from>
    <xdr:ext cx="66675" cy="434790"/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C5BF766C-7814-48CE-99F4-C5B2A51A8E6C}"/>
            </a:ext>
          </a:extLst>
        </xdr:cNvPr>
        <xdr:cNvSpPr txBox="1">
          <a:spLocks noChangeArrowheads="1"/>
        </xdr:cNvSpPr>
      </xdr:nvSpPr>
      <xdr:spPr bwMode="auto">
        <a:xfrm>
          <a:off x="2600325" y="10096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123</xdr:row>
      <xdr:rowOff>0</xdr:rowOff>
    </xdr:from>
    <xdr:ext cx="66675" cy="434790"/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8D0778DB-BF96-4B88-9D4E-94D52F6E146B}"/>
            </a:ext>
          </a:extLst>
        </xdr:cNvPr>
        <xdr:cNvSpPr txBox="1">
          <a:spLocks noChangeArrowheads="1"/>
        </xdr:cNvSpPr>
      </xdr:nvSpPr>
      <xdr:spPr bwMode="auto">
        <a:xfrm>
          <a:off x="2600325" y="10096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123</xdr:row>
      <xdr:rowOff>0</xdr:rowOff>
    </xdr:from>
    <xdr:ext cx="66675" cy="434790"/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A332E05B-4CED-4196-BE43-62D5AB3D63D8}"/>
            </a:ext>
          </a:extLst>
        </xdr:cNvPr>
        <xdr:cNvSpPr txBox="1">
          <a:spLocks noChangeArrowheads="1"/>
        </xdr:cNvSpPr>
      </xdr:nvSpPr>
      <xdr:spPr bwMode="auto">
        <a:xfrm>
          <a:off x="2600325" y="10096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123</xdr:row>
      <xdr:rowOff>0</xdr:rowOff>
    </xdr:from>
    <xdr:ext cx="66675" cy="434790"/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4AE98495-CF35-45AE-BA8C-4E5D80544413}"/>
            </a:ext>
          </a:extLst>
        </xdr:cNvPr>
        <xdr:cNvSpPr txBox="1">
          <a:spLocks noChangeArrowheads="1"/>
        </xdr:cNvSpPr>
      </xdr:nvSpPr>
      <xdr:spPr bwMode="auto">
        <a:xfrm>
          <a:off x="2600325" y="10096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twoCellAnchor editAs="oneCell">
    <xdr:from>
      <xdr:col>6</xdr:col>
      <xdr:colOff>1047750</xdr:colOff>
      <xdr:row>124</xdr:row>
      <xdr:rowOff>0</xdr:rowOff>
    </xdr:from>
    <xdr:to>
      <xdr:col>7</xdr:col>
      <xdr:colOff>66550</xdr:colOff>
      <xdr:row>124</xdr:row>
      <xdr:rowOff>44265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96E9843C-E0D7-4F6F-B732-A64AA36B97F2}"/>
            </a:ext>
          </a:extLst>
        </xdr:cNvPr>
        <xdr:cNvSpPr txBox="1">
          <a:spLocks noChangeArrowheads="1"/>
        </xdr:cNvSpPr>
      </xdr:nvSpPr>
      <xdr:spPr bwMode="auto">
        <a:xfrm>
          <a:off x="4362450" y="1190625"/>
          <a:ext cx="68791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124</xdr:row>
      <xdr:rowOff>0</xdr:rowOff>
    </xdr:from>
    <xdr:to>
      <xdr:col>2</xdr:col>
      <xdr:colOff>1047750</xdr:colOff>
      <xdr:row>124</xdr:row>
      <xdr:rowOff>44265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24823E32-86E8-4285-9AC5-C6C21BE45386}"/>
            </a:ext>
          </a:extLst>
        </xdr:cNvPr>
        <xdr:cNvSpPr txBox="1">
          <a:spLocks noChangeArrowheads="1"/>
        </xdr:cNvSpPr>
      </xdr:nvSpPr>
      <xdr:spPr bwMode="auto">
        <a:xfrm>
          <a:off x="2600325" y="1190625"/>
          <a:ext cx="0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1047750</xdr:colOff>
      <xdr:row>124</xdr:row>
      <xdr:rowOff>0</xdr:rowOff>
    </xdr:from>
    <xdr:to>
      <xdr:col>7</xdr:col>
      <xdr:colOff>66550</xdr:colOff>
      <xdr:row>124</xdr:row>
      <xdr:rowOff>44265</xdr:rowOff>
    </xdr:to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1A23B9B4-4F5F-489F-99EA-197807507BBD}"/>
            </a:ext>
          </a:extLst>
        </xdr:cNvPr>
        <xdr:cNvSpPr txBox="1">
          <a:spLocks noChangeArrowheads="1"/>
        </xdr:cNvSpPr>
      </xdr:nvSpPr>
      <xdr:spPr bwMode="auto">
        <a:xfrm>
          <a:off x="4362450" y="1190625"/>
          <a:ext cx="68791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twoCellAnchor>
  <xdr:oneCellAnchor>
    <xdr:from>
      <xdr:col>6</xdr:col>
      <xdr:colOff>1047750</xdr:colOff>
      <xdr:row>125</xdr:row>
      <xdr:rowOff>0</xdr:rowOff>
    </xdr:from>
    <xdr:ext cx="66675" cy="44265"/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5AB53F8A-C73F-4C89-B9EB-D61487D169AD}"/>
            </a:ext>
          </a:extLst>
        </xdr:cNvPr>
        <xdr:cNvSpPr txBox="1">
          <a:spLocks noChangeArrowheads="1"/>
        </xdr:cNvSpPr>
      </xdr:nvSpPr>
      <xdr:spPr bwMode="auto">
        <a:xfrm>
          <a:off x="4362450" y="137160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125</xdr:row>
      <xdr:rowOff>0</xdr:rowOff>
    </xdr:from>
    <xdr:ext cx="66675" cy="44265"/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6C7FC9C0-AB94-4124-8FE0-D1D0CB1A4DB9}"/>
            </a:ext>
          </a:extLst>
        </xdr:cNvPr>
        <xdr:cNvSpPr txBox="1">
          <a:spLocks noChangeArrowheads="1"/>
        </xdr:cNvSpPr>
      </xdr:nvSpPr>
      <xdr:spPr bwMode="auto">
        <a:xfrm>
          <a:off x="4362450" y="137160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2</xdr:col>
      <xdr:colOff>1047750</xdr:colOff>
      <xdr:row>194</xdr:row>
      <xdr:rowOff>0</xdr:rowOff>
    </xdr:from>
    <xdr:ext cx="66675" cy="434790"/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68575E60-4611-481E-A456-78F4807096CE}"/>
            </a:ext>
          </a:extLst>
        </xdr:cNvPr>
        <xdr:cNvSpPr txBox="1">
          <a:spLocks noChangeArrowheads="1"/>
        </xdr:cNvSpPr>
      </xdr:nvSpPr>
      <xdr:spPr bwMode="auto">
        <a:xfrm>
          <a:off x="2600325" y="194976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194</xdr:row>
      <xdr:rowOff>0</xdr:rowOff>
    </xdr:from>
    <xdr:ext cx="66675" cy="434790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335C4CD4-6538-49FB-BBF0-1C0EC8DCE425}"/>
            </a:ext>
          </a:extLst>
        </xdr:cNvPr>
        <xdr:cNvSpPr txBox="1">
          <a:spLocks noChangeArrowheads="1"/>
        </xdr:cNvSpPr>
      </xdr:nvSpPr>
      <xdr:spPr bwMode="auto">
        <a:xfrm>
          <a:off x="2600325" y="194976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194</xdr:row>
      <xdr:rowOff>0</xdr:rowOff>
    </xdr:from>
    <xdr:ext cx="66675" cy="434790"/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FDD8911A-6F70-4036-A71F-716D72F55414}"/>
            </a:ext>
          </a:extLst>
        </xdr:cNvPr>
        <xdr:cNvSpPr txBox="1">
          <a:spLocks noChangeArrowheads="1"/>
        </xdr:cNvSpPr>
      </xdr:nvSpPr>
      <xdr:spPr bwMode="auto">
        <a:xfrm>
          <a:off x="2600325" y="194976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194</xdr:row>
      <xdr:rowOff>0</xdr:rowOff>
    </xdr:from>
    <xdr:ext cx="66675" cy="434790"/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B9D9D698-4F4F-401B-A7DB-1D9F04444D1F}"/>
            </a:ext>
          </a:extLst>
        </xdr:cNvPr>
        <xdr:cNvSpPr txBox="1">
          <a:spLocks noChangeArrowheads="1"/>
        </xdr:cNvSpPr>
      </xdr:nvSpPr>
      <xdr:spPr bwMode="auto">
        <a:xfrm>
          <a:off x="2600325" y="194976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6</xdr:col>
      <xdr:colOff>1047750</xdr:colOff>
      <xdr:row>195</xdr:row>
      <xdr:rowOff>0</xdr:rowOff>
    </xdr:from>
    <xdr:ext cx="69524" cy="44265"/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79C9B442-FC8E-483F-B98E-775B5D673B2E}"/>
            </a:ext>
          </a:extLst>
        </xdr:cNvPr>
        <xdr:cNvSpPr txBox="1">
          <a:spLocks noChangeArrowheads="1"/>
        </xdr:cNvSpPr>
      </xdr:nvSpPr>
      <xdr:spPr bwMode="auto">
        <a:xfrm>
          <a:off x="4362450" y="19678650"/>
          <a:ext cx="6952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195</xdr:row>
      <xdr:rowOff>0</xdr:rowOff>
    </xdr:from>
    <xdr:ext cx="69524" cy="44265"/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32D1C565-69DC-4D67-80EF-C5C4880C1FF4}"/>
            </a:ext>
          </a:extLst>
        </xdr:cNvPr>
        <xdr:cNvSpPr txBox="1">
          <a:spLocks noChangeArrowheads="1"/>
        </xdr:cNvSpPr>
      </xdr:nvSpPr>
      <xdr:spPr bwMode="auto">
        <a:xfrm>
          <a:off x="4362450" y="19678650"/>
          <a:ext cx="6952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195</xdr:row>
      <xdr:rowOff>0</xdr:rowOff>
    </xdr:from>
    <xdr:ext cx="69524" cy="44265"/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40D308A7-286F-418F-BE0A-F8278CDB2E25}"/>
            </a:ext>
          </a:extLst>
        </xdr:cNvPr>
        <xdr:cNvSpPr txBox="1">
          <a:spLocks noChangeArrowheads="1"/>
        </xdr:cNvSpPr>
      </xdr:nvSpPr>
      <xdr:spPr bwMode="auto">
        <a:xfrm>
          <a:off x="4362450" y="19678650"/>
          <a:ext cx="6952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195</xdr:row>
      <xdr:rowOff>0</xdr:rowOff>
    </xdr:from>
    <xdr:ext cx="69524" cy="44265"/>
    <xdr:sp macro="" textlink="">
      <xdr:nvSpPr>
        <xdr:cNvPr id="36" name="Text Box 2">
          <a:extLst>
            <a:ext uri="{FF2B5EF4-FFF2-40B4-BE49-F238E27FC236}">
              <a16:creationId xmlns:a16="http://schemas.microsoft.com/office/drawing/2014/main" id="{CC593A93-3463-4ABE-8A90-D617C7F8ADA4}"/>
            </a:ext>
          </a:extLst>
        </xdr:cNvPr>
        <xdr:cNvSpPr txBox="1">
          <a:spLocks noChangeArrowheads="1"/>
        </xdr:cNvSpPr>
      </xdr:nvSpPr>
      <xdr:spPr bwMode="auto">
        <a:xfrm>
          <a:off x="4362450" y="19678650"/>
          <a:ext cx="69524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056B-7A89-4BA8-B8DB-F2BC93EF077D}">
  <dimension ref="A1:M237"/>
  <sheetViews>
    <sheetView tabSelected="1" zoomScaleNormal="100" workbookViewId="0">
      <pane xSplit="11" ySplit="1" topLeftCell="L2" activePane="bottomRight" state="frozen"/>
      <selection pane="topRight" activeCell="L1" sqref="L1"/>
      <selection pane="bottomLeft" activeCell="A4" sqref="A4"/>
      <selection pane="bottomRight" sqref="A1:XFD2"/>
    </sheetView>
  </sheetViews>
  <sheetFormatPr defaultRowHeight="13.5" x14ac:dyDescent="0.15"/>
  <cols>
    <col min="1" max="1" width="6.875" style="108" customWidth="1"/>
    <col min="2" max="2" width="16.375" style="131" customWidth="1"/>
    <col min="3" max="3" width="16.5" customWidth="1"/>
    <col min="4" max="4" width="13.125" style="108" customWidth="1"/>
    <col min="5" max="5" width="6.5" customWidth="1"/>
    <col min="6" max="7" width="9" hidden="1" customWidth="1"/>
    <col min="8" max="8" width="9.5" style="108" customWidth="1"/>
    <col min="9" max="9" width="5.5" customWidth="1"/>
    <col min="10" max="10" width="7.625" style="4" customWidth="1"/>
    <col min="11" max="11" width="20.75" customWidth="1"/>
    <col min="12" max="12" width="16.625" style="158" hidden="1" customWidth="1"/>
    <col min="13" max="13" width="15.125" style="158" hidden="1" customWidth="1"/>
  </cols>
  <sheetData>
    <row r="1" spans="1:13" ht="20.100000000000001" customHeight="1" x14ac:dyDescent="0.15">
      <c r="A1" s="109" t="s">
        <v>0</v>
      </c>
      <c r="B1" s="2" t="s">
        <v>10</v>
      </c>
      <c r="C1" s="3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06" t="s">
        <v>6</v>
      </c>
      <c r="I1" s="1" t="s">
        <v>7</v>
      </c>
      <c r="J1" s="1" t="s">
        <v>8</v>
      </c>
      <c r="K1" s="1" t="s">
        <v>9</v>
      </c>
    </row>
    <row r="2" spans="1:13" s="38" customFormat="1" ht="20.100000000000001" customHeight="1" x14ac:dyDescent="0.15">
      <c r="A2" s="5">
        <v>37</v>
      </c>
      <c r="B2" s="72"/>
      <c r="C2" s="78">
        <v>101005002072</v>
      </c>
      <c r="D2" s="5" t="s">
        <v>12</v>
      </c>
      <c r="E2" s="5" t="s">
        <v>48</v>
      </c>
      <c r="F2" s="36"/>
      <c r="G2" s="36"/>
      <c r="H2" s="5" t="s">
        <v>48</v>
      </c>
      <c r="I2" s="5">
        <v>1</v>
      </c>
      <c r="J2" s="5">
        <v>1</v>
      </c>
      <c r="K2" s="5">
        <v>20241221</v>
      </c>
    </row>
    <row r="3" spans="1:13" s="195" customFormat="1" ht="20.100000000000001" customHeight="1" x14ac:dyDescent="0.15">
      <c r="A3" s="188">
        <v>37.1</v>
      </c>
      <c r="B3" s="189"/>
      <c r="C3" s="190">
        <v>101005000603</v>
      </c>
      <c r="D3" s="188" t="s">
        <v>49</v>
      </c>
      <c r="E3" s="188" t="s">
        <v>50</v>
      </c>
      <c r="F3" s="36"/>
      <c r="G3" s="36"/>
      <c r="H3" s="188" t="s">
        <v>51</v>
      </c>
      <c r="I3" s="188">
        <v>2</v>
      </c>
      <c r="J3" s="188">
        <v>2</v>
      </c>
      <c r="K3" s="188" t="s">
        <v>52</v>
      </c>
      <c r="L3" s="194" t="s">
        <v>269</v>
      </c>
      <c r="M3" s="194">
        <v>2.2320000000000002</v>
      </c>
    </row>
    <row r="4" spans="1:13" s="195" customFormat="1" ht="20.100000000000001" customHeight="1" x14ac:dyDescent="0.15">
      <c r="A4" s="188">
        <v>37.200000000000003</v>
      </c>
      <c r="B4" s="189"/>
      <c r="C4" s="190">
        <v>101005000604</v>
      </c>
      <c r="D4" s="188" t="s">
        <v>49</v>
      </c>
      <c r="E4" s="188" t="s">
        <v>50</v>
      </c>
      <c r="F4" s="36"/>
      <c r="G4" s="36"/>
      <c r="H4" s="188" t="s">
        <v>51</v>
      </c>
      <c r="I4" s="188">
        <v>2</v>
      </c>
      <c r="J4" s="188">
        <v>2</v>
      </c>
      <c r="K4" s="188" t="s">
        <v>53</v>
      </c>
      <c r="L4" s="194" t="s">
        <v>270</v>
      </c>
      <c r="M4" s="194">
        <v>3.68</v>
      </c>
    </row>
    <row r="5" spans="1:13" s="38" customFormat="1" ht="20.100000000000001" customHeight="1" x14ac:dyDescent="0.15">
      <c r="A5" s="6">
        <v>37.299999999999997</v>
      </c>
      <c r="B5" s="126"/>
      <c r="C5" s="7">
        <v>101005000605</v>
      </c>
      <c r="D5" s="8" t="s">
        <v>54</v>
      </c>
      <c r="E5" s="9" t="s">
        <v>55</v>
      </c>
      <c r="F5" s="115"/>
      <c r="G5" s="115"/>
      <c r="H5" s="8" t="s">
        <v>51</v>
      </c>
      <c r="I5" s="9">
        <v>4</v>
      </c>
      <c r="J5" s="9">
        <v>4</v>
      </c>
      <c r="K5" s="9"/>
    </row>
    <row r="6" spans="1:13" s="195" customFormat="1" ht="20.100000000000001" customHeight="1" x14ac:dyDescent="0.15">
      <c r="A6" s="188">
        <v>37.4</v>
      </c>
      <c r="B6" s="189"/>
      <c r="C6" s="190">
        <v>101005000996</v>
      </c>
      <c r="D6" s="191" t="s">
        <v>56</v>
      </c>
      <c r="E6" s="192" t="s">
        <v>50</v>
      </c>
      <c r="F6" s="36"/>
      <c r="G6" s="36"/>
      <c r="H6" s="191" t="s">
        <v>51</v>
      </c>
      <c r="I6" s="193">
        <v>2</v>
      </c>
      <c r="J6" s="193">
        <v>2</v>
      </c>
      <c r="K6" s="192" t="s">
        <v>244</v>
      </c>
      <c r="L6" s="194" t="s">
        <v>271</v>
      </c>
      <c r="M6" s="194">
        <v>0.54</v>
      </c>
    </row>
    <row r="7" spans="1:13" s="38" customFormat="1" ht="20.100000000000001" customHeight="1" x14ac:dyDescent="0.15">
      <c r="A7" s="6">
        <v>37.5</v>
      </c>
      <c r="B7" s="126"/>
      <c r="C7" s="7">
        <v>101005000607</v>
      </c>
      <c r="D7" s="8" t="s">
        <v>57</v>
      </c>
      <c r="E7" s="8" t="s">
        <v>48</v>
      </c>
      <c r="F7" s="36"/>
      <c r="G7" s="36"/>
      <c r="H7" s="8" t="s">
        <v>48</v>
      </c>
      <c r="I7" s="11">
        <v>4</v>
      </c>
      <c r="J7" s="11">
        <v>4</v>
      </c>
      <c r="K7" s="11"/>
    </row>
    <row r="8" spans="1:13" s="220" customFormat="1" ht="20.100000000000001" customHeight="1" x14ac:dyDescent="0.15">
      <c r="A8" s="221" t="s">
        <v>64</v>
      </c>
      <c r="B8" s="222"/>
      <c r="C8" s="223">
        <v>101005000608</v>
      </c>
      <c r="D8" s="217" t="s">
        <v>12</v>
      </c>
      <c r="E8" s="215" t="s">
        <v>50</v>
      </c>
      <c r="F8" s="218"/>
      <c r="G8" s="218"/>
      <c r="H8" s="217" t="s">
        <v>51</v>
      </c>
      <c r="I8" s="215">
        <v>2</v>
      </c>
      <c r="J8" s="215">
        <f>I8*4</f>
        <v>8</v>
      </c>
      <c r="K8" s="215" t="s">
        <v>58</v>
      </c>
      <c r="L8" s="219" t="s">
        <v>286</v>
      </c>
      <c r="M8" s="219">
        <v>0.432</v>
      </c>
    </row>
    <row r="9" spans="1:13" s="38" customFormat="1" ht="20.100000000000001" customHeight="1" x14ac:dyDescent="0.15">
      <c r="A9" s="6" t="s">
        <v>65</v>
      </c>
      <c r="B9" s="126"/>
      <c r="C9" s="7">
        <v>101005000609</v>
      </c>
      <c r="D9" s="8" t="s">
        <v>11</v>
      </c>
      <c r="E9" s="9" t="s">
        <v>59</v>
      </c>
      <c r="F9" s="115"/>
      <c r="G9" s="115"/>
      <c r="H9" s="8" t="s">
        <v>51</v>
      </c>
      <c r="I9" s="11">
        <v>1</v>
      </c>
      <c r="J9" s="192">
        <f>I9*4</f>
        <v>4</v>
      </c>
      <c r="K9" s="11"/>
    </row>
    <row r="10" spans="1:13" s="38" customFormat="1" ht="20.100000000000001" customHeight="1" x14ac:dyDescent="0.15">
      <c r="A10" s="6">
        <v>37.6</v>
      </c>
      <c r="B10" s="126"/>
      <c r="C10" s="7">
        <v>101005000612</v>
      </c>
      <c r="D10" s="8" t="s">
        <v>60</v>
      </c>
      <c r="E10" s="8" t="s">
        <v>48</v>
      </c>
      <c r="F10" s="36"/>
      <c r="G10" s="36"/>
      <c r="H10" s="8" t="s">
        <v>48</v>
      </c>
      <c r="I10" s="9">
        <v>4</v>
      </c>
      <c r="J10" s="9">
        <v>4</v>
      </c>
      <c r="K10" s="9"/>
    </row>
    <row r="11" spans="1:13" s="220" customFormat="1" ht="20.100000000000001" customHeight="1" x14ac:dyDescent="0.15">
      <c r="A11" s="215" t="s">
        <v>66</v>
      </c>
      <c r="B11" s="216"/>
      <c r="C11" s="217" t="s">
        <v>61</v>
      </c>
      <c r="D11" s="217" t="s">
        <v>62</v>
      </c>
      <c r="E11" s="215" t="s">
        <v>50</v>
      </c>
      <c r="F11" s="218"/>
      <c r="G11" s="218"/>
      <c r="H11" s="217" t="s">
        <v>51</v>
      </c>
      <c r="I11" s="215">
        <v>2</v>
      </c>
      <c r="J11" s="215">
        <v>8</v>
      </c>
      <c r="K11" s="215" t="s">
        <v>63</v>
      </c>
      <c r="L11" s="219" t="s">
        <v>285</v>
      </c>
      <c r="M11" s="219">
        <v>2.6680000000000001</v>
      </c>
    </row>
    <row r="12" spans="1:13" s="38" customFormat="1" ht="20.100000000000001" customHeight="1" x14ac:dyDescent="0.15">
      <c r="A12" s="5">
        <v>38</v>
      </c>
      <c r="B12" s="72"/>
      <c r="C12" s="78">
        <v>101005001207</v>
      </c>
      <c r="D12" s="5" t="s">
        <v>13</v>
      </c>
      <c r="E12" s="5" t="s">
        <v>48</v>
      </c>
      <c r="F12" s="36"/>
      <c r="G12" s="36"/>
      <c r="H12" s="5" t="s">
        <v>48</v>
      </c>
      <c r="I12" s="5">
        <v>1</v>
      </c>
      <c r="J12" s="5">
        <v>1</v>
      </c>
      <c r="K12" s="5">
        <v>20241221</v>
      </c>
    </row>
    <row r="13" spans="1:13" s="38" customFormat="1" ht="20.100000000000001" customHeight="1" x14ac:dyDescent="0.15">
      <c r="A13" s="6">
        <v>38.1</v>
      </c>
      <c r="B13" s="126"/>
      <c r="C13" s="7">
        <v>101005000568</v>
      </c>
      <c r="D13" s="8" t="s">
        <v>67</v>
      </c>
      <c r="E13" s="9" t="s">
        <v>68</v>
      </c>
      <c r="F13" s="115"/>
      <c r="G13" s="115"/>
      <c r="H13" s="8" t="s">
        <v>51</v>
      </c>
      <c r="I13" s="10">
        <v>1</v>
      </c>
      <c r="J13" s="10">
        <v>1</v>
      </c>
      <c r="K13" s="10"/>
    </row>
    <row r="14" spans="1:13" s="38" customFormat="1" ht="20.100000000000001" customHeight="1" x14ac:dyDescent="0.15">
      <c r="A14" s="6">
        <v>38.200000000000003</v>
      </c>
      <c r="B14" s="126"/>
      <c r="C14" s="7">
        <v>101005000570</v>
      </c>
      <c r="D14" s="8" t="s">
        <v>67</v>
      </c>
      <c r="E14" s="9" t="s">
        <v>68</v>
      </c>
      <c r="F14" s="115"/>
      <c r="G14" s="115"/>
      <c r="H14" s="8" t="s">
        <v>51</v>
      </c>
      <c r="I14" s="11">
        <v>1</v>
      </c>
      <c r="J14" s="11">
        <v>1</v>
      </c>
      <c r="K14" s="11"/>
    </row>
    <row r="15" spans="1:13" s="38" customFormat="1" ht="20.100000000000001" customHeight="1" x14ac:dyDescent="0.15">
      <c r="A15" s="6">
        <v>38.299999999999997</v>
      </c>
      <c r="B15" s="126"/>
      <c r="C15" s="7">
        <v>101005000572</v>
      </c>
      <c r="D15" s="8" t="s">
        <v>69</v>
      </c>
      <c r="E15" s="9" t="s">
        <v>70</v>
      </c>
      <c r="F15" s="115"/>
      <c r="G15" s="115"/>
      <c r="H15" s="8" t="s">
        <v>51</v>
      </c>
      <c r="I15" s="9">
        <v>1</v>
      </c>
      <c r="J15" s="9">
        <v>1</v>
      </c>
      <c r="K15" s="9"/>
    </row>
    <row r="16" spans="1:13" s="38" customFormat="1" ht="20.100000000000001" customHeight="1" x14ac:dyDescent="0.15">
      <c r="A16" s="6">
        <v>38.4</v>
      </c>
      <c r="B16" s="126"/>
      <c r="C16" s="7">
        <v>101005000573</v>
      </c>
      <c r="D16" s="8" t="s">
        <v>69</v>
      </c>
      <c r="E16" s="9" t="s">
        <v>70</v>
      </c>
      <c r="F16" s="115"/>
      <c r="G16" s="115"/>
      <c r="H16" s="8" t="s">
        <v>51</v>
      </c>
      <c r="I16" s="10">
        <v>1</v>
      </c>
      <c r="J16" s="10">
        <v>1</v>
      </c>
      <c r="K16" s="10"/>
    </row>
    <row r="17" spans="1:13" s="38" customFormat="1" ht="20.100000000000001" customHeight="1" x14ac:dyDescent="0.15">
      <c r="A17" s="6">
        <v>38.5</v>
      </c>
      <c r="B17" s="126"/>
      <c r="C17" s="7">
        <v>101005000574</v>
      </c>
      <c r="D17" s="8" t="s">
        <v>69</v>
      </c>
      <c r="E17" s="9" t="s">
        <v>70</v>
      </c>
      <c r="F17" s="115"/>
      <c r="G17" s="115"/>
      <c r="H17" s="8" t="s">
        <v>51</v>
      </c>
      <c r="I17" s="9">
        <v>1</v>
      </c>
      <c r="J17" s="9">
        <v>1</v>
      </c>
      <c r="K17" s="9"/>
    </row>
    <row r="18" spans="1:13" s="38" customFormat="1" ht="20.100000000000001" customHeight="1" x14ac:dyDescent="0.15">
      <c r="A18" s="6">
        <v>38.6</v>
      </c>
      <c r="B18" s="126"/>
      <c r="C18" s="7">
        <v>101005000575</v>
      </c>
      <c r="D18" s="8" t="s">
        <v>67</v>
      </c>
      <c r="E18" s="9" t="s">
        <v>71</v>
      </c>
      <c r="F18" s="115"/>
      <c r="G18" s="115"/>
      <c r="H18" s="8" t="s">
        <v>51</v>
      </c>
      <c r="I18" s="12">
        <v>8</v>
      </c>
      <c r="J18" s="12">
        <v>8</v>
      </c>
      <c r="K18" s="12"/>
    </row>
    <row r="19" spans="1:13" s="38" customFormat="1" ht="20.100000000000001" customHeight="1" x14ac:dyDescent="0.15">
      <c r="A19" s="6">
        <v>38.700000000000003</v>
      </c>
      <c r="B19" s="126"/>
      <c r="C19" s="7">
        <v>101005000576</v>
      </c>
      <c r="D19" s="8" t="s">
        <v>72</v>
      </c>
      <c r="E19" s="9" t="s">
        <v>68</v>
      </c>
      <c r="F19" s="115"/>
      <c r="G19" s="115"/>
      <c r="H19" s="8" t="s">
        <v>51</v>
      </c>
      <c r="I19" s="9">
        <v>1</v>
      </c>
      <c r="J19" s="9">
        <v>1</v>
      </c>
      <c r="K19" s="9"/>
    </row>
    <row r="20" spans="1:13" s="38" customFormat="1" ht="20.100000000000001" customHeight="1" x14ac:dyDescent="0.15">
      <c r="A20" s="6">
        <v>38.799999999999997</v>
      </c>
      <c r="B20" s="126"/>
      <c r="C20" s="7">
        <v>101005000578</v>
      </c>
      <c r="D20" s="8" t="s">
        <v>72</v>
      </c>
      <c r="E20" s="9" t="s">
        <v>68</v>
      </c>
      <c r="F20" s="115"/>
      <c r="G20" s="115"/>
      <c r="H20" s="8" t="s">
        <v>51</v>
      </c>
      <c r="I20" s="10">
        <v>2</v>
      </c>
      <c r="J20" s="10">
        <v>2</v>
      </c>
      <c r="K20" s="9" t="s">
        <v>73</v>
      </c>
    </row>
    <row r="21" spans="1:13" s="195" customFormat="1" ht="20.100000000000001" customHeight="1" x14ac:dyDescent="0.15">
      <c r="A21" s="188">
        <v>38.9</v>
      </c>
      <c r="B21" s="189"/>
      <c r="C21" s="190">
        <v>101005000580</v>
      </c>
      <c r="D21" s="191" t="s">
        <v>74</v>
      </c>
      <c r="E21" s="192" t="s">
        <v>50</v>
      </c>
      <c r="F21" s="36"/>
      <c r="G21" s="36"/>
      <c r="H21" s="191" t="s">
        <v>51</v>
      </c>
      <c r="I21" s="196">
        <v>8</v>
      </c>
      <c r="J21" s="196">
        <v>8</v>
      </c>
      <c r="K21" s="192" t="s">
        <v>75</v>
      </c>
      <c r="L21" s="194" t="s">
        <v>272</v>
      </c>
      <c r="M21" s="194">
        <v>0.35199999999999998</v>
      </c>
    </row>
    <row r="22" spans="1:13" s="38" customFormat="1" ht="20.100000000000001" customHeight="1" x14ac:dyDescent="0.15">
      <c r="A22" s="13">
        <v>38.1</v>
      </c>
      <c r="B22" s="126"/>
      <c r="C22" s="7">
        <v>101005000772</v>
      </c>
      <c r="D22" s="8" t="s">
        <v>76</v>
      </c>
      <c r="E22" s="9" t="s">
        <v>55</v>
      </c>
      <c r="F22" s="115"/>
      <c r="G22" s="115"/>
      <c r="H22" s="8" t="s">
        <v>51</v>
      </c>
      <c r="I22" s="11">
        <v>4</v>
      </c>
      <c r="J22" s="11">
        <v>4</v>
      </c>
      <c r="K22" s="11"/>
    </row>
    <row r="23" spans="1:13" s="38" customFormat="1" ht="20.100000000000001" customHeight="1" x14ac:dyDescent="0.15">
      <c r="A23" s="6">
        <v>38.11</v>
      </c>
      <c r="B23" s="126"/>
      <c r="C23" s="7">
        <v>101005001208</v>
      </c>
      <c r="D23" s="8" t="s">
        <v>77</v>
      </c>
      <c r="E23" s="9" t="s">
        <v>70</v>
      </c>
      <c r="F23" s="115"/>
      <c r="G23" s="115"/>
      <c r="H23" s="8" t="s">
        <v>51</v>
      </c>
      <c r="I23" s="10">
        <v>2</v>
      </c>
      <c r="J23" s="10">
        <v>2</v>
      </c>
      <c r="K23" s="10"/>
    </row>
    <row r="24" spans="1:13" s="38" customFormat="1" ht="20.100000000000001" customHeight="1" x14ac:dyDescent="0.15">
      <c r="A24" s="13">
        <v>38.119999999999997</v>
      </c>
      <c r="B24" s="126"/>
      <c r="C24" s="7" t="s">
        <v>78</v>
      </c>
      <c r="D24" s="8" t="s">
        <v>22</v>
      </c>
      <c r="E24" s="9" t="s">
        <v>70</v>
      </c>
      <c r="F24" s="115"/>
      <c r="G24" s="115"/>
      <c r="H24" s="8" t="s">
        <v>51</v>
      </c>
      <c r="I24" s="10">
        <v>2</v>
      </c>
      <c r="J24" s="10">
        <v>2</v>
      </c>
      <c r="K24" s="10"/>
    </row>
    <row r="25" spans="1:13" s="38" customFormat="1" ht="20.100000000000001" customHeight="1" x14ac:dyDescent="0.15">
      <c r="A25" s="6">
        <v>38.130000000000003</v>
      </c>
      <c r="B25" s="126"/>
      <c r="C25" s="7">
        <v>101005001210</v>
      </c>
      <c r="D25" s="8" t="s">
        <v>79</v>
      </c>
      <c r="E25" s="9" t="s">
        <v>80</v>
      </c>
      <c r="F25" s="115"/>
      <c r="G25" s="115"/>
      <c r="H25" s="8" t="s">
        <v>51</v>
      </c>
      <c r="I25" s="12">
        <v>2</v>
      </c>
      <c r="J25" s="12">
        <v>2</v>
      </c>
      <c r="K25" s="12"/>
    </row>
    <row r="26" spans="1:13" s="38" customFormat="1" ht="20.100000000000001" customHeight="1" x14ac:dyDescent="0.15">
      <c r="A26" s="13">
        <v>38.14</v>
      </c>
      <c r="B26" s="126"/>
      <c r="C26" s="7">
        <v>101005001211</v>
      </c>
      <c r="D26" s="8" t="s">
        <v>81</v>
      </c>
      <c r="E26" s="8" t="s">
        <v>48</v>
      </c>
      <c r="F26" s="36"/>
      <c r="G26" s="36"/>
      <c r="H26" s="8" t="s">
        <v>48</v>
      </c>
      <c r="I26" s="12">
        <v>1</v>
      </c>
      <c r="J26" s="12">
        <v>1</v>
      </c>
      <c r="K26" s="12"/>
    </row>
    <row r="27" spans="1:13" s="38" customFormat="1" ht="20.100000000000001" customHeight="1" x14ac:dyDescent="0.15">
      <c r="A27" s="14" t="s">
        <v>94</v>
      </c>
      <c r="B27" s="127"/>
      <c r="C27" s="7">
        <v>101005000564</v>
      </c>
      <c r="D27" s="8" t="s">
        <v>22</v>
      </c>
      <c r="E27" s="9" t="s">
        <v>82</v>
      </c>
      <c r="F27" s="115"/>
      <c r="G27" s="115"/>
      <c r="H27" s="15" t="s">
        <v>83</v>
      </c>
      <c r="I27" s="11">
        <v>14</v>
      </c>
      <c r="J27" s="11">
        <v>14</v>
      </c>
      <c r="K27" s="5"/>
    </row>
    <row r="28" spans="1:13" s="38" customFormat="1" ht="20.100000000000001" customHeight="1" x14ac:dyDescent="0.15">
      <c r="A28" s="14" t="s">
        <v>95</v>
      </c>
      <c r="B28" s="127"/>
      <c r="C28" s="7">
        <v>101005000583</v>
      </c>
      <c r="D28" s="8" t="s">
        <v>23</v>
      </c>
      <c r="E28" s="9" t="s">
        <v>71</v>
      </c>
      <c r="F28" s="115"/>
      <c r="G28" s="115"/>
      <c r="H28" s="15" t="s">
        <v>83</v>
      </c>
      <c r="I28" s="10">
        <v>1</v>
      </c>
      <c r="J28" s="10">
        <v>1</v>
      </c>
      <c r="K28" s="5"/>
    </row>
    <row r="29" spans="1:13" s="38" customFormat="1" ht="20.100000000000001" customHeight="1" x14ac:dyDescent="0.15">
      <c r="A29" s="14" t="s">
        <v>96</v>
      </c>
      <c r="B29" s="127"/>
      <c r="C29" s="7">
        <v>101005000585</v>
      </c>
      <c r="D29" s="8" t="s">
        <v>84</v>
      </c>
      <c r="E29" s="9" t="s">
        <v>71</v>
      </c>
      <c r="F29" s="115"/>
      <c r="G29" s="115"/>
      <c r="H29" s="15" t="s">
        <v>83</v>
      </c>
      <c r="I29" s="10">
        <v>1</v>
      </c>
      <c r="J29" s="10">
        <v>1</v>
      </c>
      <c r="K29" s="5"/>
    </row>
    <row r="30" spans="1:13" s="38" customFormat="1" ht="20.100000000000001" customHeight="1" x14ac:dyDescent="0.15">
      <c r="A30" s="14" t="s">
        <v>97</v>
      </c>
      <c r="B30" s="127"/>
      <c r="C30" s="7">
        <v>101005000586</v>
      </c>
      <c r="D30" s="8" t="s">
        <v>85</v>
      </c>
      <c r="E30" s="9" t="s">
        <v>71</v>
      </c>
      <c r="F30" s="115"/>
      <c r="G30" s="115"/>
      <c r="H30" s="15" t="s">
        <v>83</v>
      </c>
      <c r="I30" s="11">
        <v>1</v>
      </c>
      <c r="J30" s="11">
        <v>1</v>
      </c>
      <c r="K30" s="5"/>
    </row>
    <row r="31" spans="1:13" s="38" customFormat="1" ht="20.100000000000001" customHeight="1" x14ac:dyDescent="0.15">
      <c r="A31" s="14" t="s">
        <v>98</v>
      </c>
      <c r="B31" s="127"/>
      <c r="C31" s="7">
        <v>101005000587</v>
      </c>
      <c r="D31" s="8" t="s">
        <v>24</v>
      </c>
      <c r="E31" s="9" t="s">
        <v>71</v>
      </c>
      <c r="F31" s="115"/>
      <c r="G31" s="115"/>
      <c r="H31" s="15" t="s">
        <v>83</v>
      </c>
      <c r="I31" s="10">
        <v>1</v>
      </c>
      <c r="J31" s="10">
        <v>1</v>
      </c>
      <c r="K31" s="5"/>
    </row>
    <row r="32" spans="1:13" s="38" customFormat="1" ht="20.100000000000001" customHeight="1" x14ac:dyDescent="0.15">
      <c r="A32" s="14" t="s">
        <v>99</v>
      </c>
      <c r="B32" s="127"/>
      <c r="C32" s="7" t="s">
        <v>86</v>
      </c>
      <c r="D32" s="8" t="s">
        <v>87</v>
      </c>
      <c r="E32" s="9" t="s">
        <v>71</v>
      </c>
      <c r="F32" s="115"/>
      <c r="G32" s="115"/>
      <c r="H32" s="15" t="s">
        <v>245</v>
      </c>
      <c r="I32" s="11">
        <v>2</v>
      </c>
      <c r="J32" s="11">
        <v>2</v>
      </c>
      <c r="K32" s="5"/>
    </row>
    <row r="33" spans="1:13" s="38" customFormat="1" ht="20.100000000000001" customHeight="1" x14ac:dyDescent="0.15">
      <c r="A33" s="14" t="s">
        <v>100</v>
      </c>
      <c r="B33" s="127"/>
      <c r="C33" s="7">
        <v>101005001213</v>
      </c>
      <c r="D33" s="8" t="s">
        <v>22</v>
      </c>
      <c r="E33" s="9" t="s">
        <v>82</v>
      </c>
      <c r="F33" s="115"/>
      <c r="G33" s="115"/>
      <c r="H33" s="15" t="s">
        <v>83</v>
      </c>
      <c r="I33" s="10">
        <v>1</v>
      </c>
      <c r="J33" s="10">
        <v>1</v>
      </c>
      <c r="K33" s="5"/>
    </row>
    <row r="34" spans="1:13" s="38" customFormat="1" ht="20.100000000000001" customHeight="1" x14ac:dyDescent="0.15">
      <c r="A34" s="14" t="s">
        <v>101</v>
      </c>
      <c r="B34" s="127"/>
      <c r="C34" s="7">
        <v>101005000590</v>
      </c>
      <c r="D34" s="8" t="s">
        <v>88</v>
      </c>
      <c r="E34" s="8" t="s">
        <v>48</v>
      </c>
      <c r="F34" s="36"/>
      <c r="G34" s="36"/>
      <c r="H34" s="8" t="s">
        <v>48</v>
      </c>
      <c r="I34" s="12">
        <v>1</v>
      </c>
      <c r="J34" s="12">
        <v>1</v>
      </c>
      <c r="K34" s="5"/>
    </row>
    <row r="35" spans="1:13" s="38" customFormat="1" ht="20.100000000000001" customHeight="1" x14ac:dyDescent="0.15">
      <c r="A35" s="14"/>
      <c r="B35" s="127"/>
      <c r="C35" s="7">
        <v>101005000591</v>
      </c>
      <c r="D35" s="8" t="s">
        <v>22</v>
      </c>
      <c r="E35" s="9" t="s">
        <v>82</v>
      </c>
      <c r="F35" s="115"/>
      <c r="G35" s="115"/>
      <c r="H35" s="15" t="s">
        <v>83</v>
      </c>
      <c r="I35" s="11">
        <v>1</v>
      </c>
      <c r="J35" s="11">
        <v>1</v>
      </c>
      <c r="K35" s="5"/>
    </row>
    <row r="36" spans="1:13" s="38" customFormat="1" ht="20.100000000000001" customHeight="1" x14ac:dyDescent="0.15">
      <c r="A36" s="14"/>
      <c r="B36" s="127"/>
      <c r="C36" s="7">
        <v>101005000592</v>
      </c>
      <c r="D36" s="8" t="s">
        <v>22</v>
      </c>
      <c r="E36" s="9" t="s">
        <v>82</v>
      </c>
      <c r="F36" s="115"/>
      <c r="G36" s="115"/>
      <c r="H36" s="15" t="s">
        <v>83</v>
      </c>
      <c r="I36" s="10">
        <v>1</v>
      </c>
      <c r="J36" s="10">
        <v>1</v>
      </c>
      <c r="K36" s="5"/>
    </row>
    <row r="37" spans="1:13" s="171" customFormat="1" ht="20.100000000000001" customHeight="1" x14ac:dyDescent="0.15">
      <c r="A37" s="163"/>
      <c r="B37" s="164"/>
      <c r="C37" s="165">
        <v>101005000598</v>
      </c>
      <c r="D37" s="166" t="s">
        <v>89</v>
      </c>
      <c r="E37" s="167" t="s">
        <v>50</v>
      </c>
      <c r="F37" s="36"/>
      <c r="G37" s="36"/>
      <c r="H37" s="168" t="s">
        <v>83</v>
      </c>
      <c r="I37" s="169">
        <v>1</v>
      </c>
      <c r="J37" s="169">
        <v>1</v>
      </c>
      <c r="K37" s="167" t="s">
        <v>90</v>
      </c>
      <c r="L37" s="170" t="s">
        <v>273</v>
      </c>
      <c r="M37" s="170">
        <v>0.34539999999999998</v>
      </c>
    </row>
    <row r="38" spans="1:13" s="38" customFormat="1" ht="20.100000000000001" customHeight="1" x14ac:dyDescent="0.15">
      <c r="A38" s="14"/>
      <c r="B38" s="127"/>
      <c r="C38" s="7">
        <v>101005000599</v>
      </c>
      <c r="D38" s="8" t="s">
        <v>56</v>
      </c>
      <c r="E38" s="9" t="s">
        <v>82</v>
      </c>
      <c r="F38" s="115"/>
      <c r="G38" s="115"/>
      <c r="H38" s="15" t="s">
        <v>83</v>
      </c>
      <c r="I38" s="11">
        <v>1</v>
      </c>
      <c r="J38" s="11">
        <v>1</v>
      </c>
      <c r="K38" s="9" t="s">
        <v>91</v>
      </c>
    </row>
    <row r="39" spans="1:13" s="38" customFormat="1" ht="20.100000000000001" customHeight="1" x14ac:dyDescent="0.15">
      <c r="A39" s="14" t="s">
        <v>102</v>
      </c>
      <c r="B39" s="127"/>
      <c r="C39" s="7">
        <v>101005000593</v>
      </c>
      <c r="D39" s="8" t="s">
        <v>92</v>
      </c>
      <c r="E39" s="8" t="s">
        <v>48</v>
      </c>
      <c r="F39" s="36"/>
      <c r="G39" s="36"/>
      <c r="H39" s="8" t="s">
        <v>48</v>
      </c>
      <c r="I39" s="11">
        <v>1</v>
      </c>
      <c r="J39" s="11">
        <v>1</v>
      </c>
      <c r="K39" s="5"/>
    </row>
    <row r="40" spans="1:13" s="38" customFormat="1" ht="20.100000000000001" customHeight="1" x14ac:dyDescent="0.15">
      <c r="A40" s="14"/>
      <c r="B40" s="127"/>
      <c r="C40" s="7">
        <v>101005000594</v>
      </c>
      <c r="D40" s="8" t="s">
        <v>22</v>
      </c>
      <c r="E40" s="9" t="s">
        <v>82</v>
      </c>
      <c r="F40" s="115"/>
      <c r="G40" s="115"/>
      <c r="H40" s="15" t="s">
        <v>83</v>
      </c>
      <c r="I40" s="12">
        <v>2</v>
      </c>
      <c r="J40" s="12">
        <v>2</v>
      </c>
      <c r="K40" s="5"/>
    </row>
    <row r="41" spans="1:13" s="38" customFormat="1" ht="20.100000000000001" customHeight="1" x14ac:dyDescent="0.15">
      <c r="A41" s="16"/>
      <c r="B41" s="72"/>
      <c r="C41" s="7">
        <v>101005000600</v>
      </c>
      <c r="D41" s="8" t="s">
        <v>56</v>
      </c>
      <c r="E41" s="9" t="s">
        <v>82</v>
      </c>
      <c r="F41" s="36"/>
      <c r="G41" s="36"/>
      <c r="H41" s="15" t="s">
        <v>83</v>
      </c>
      <c r="I41" s="11">
        <v>1</v>
      </c>
      <c r="J41" s="11">
        <v>2</v>
      </c>
      <c r="K41" s="9" t="s">
        <v>246</v>
      </c>
    </row>
    <row r="42" spans="1:13" s="171" customFormat="1" ht="20.100000000000001" customHeight="1" x14ac:dyDescent="0.25">
      <c r="A42" s="172"/>
      <c r="B42" s="173"/>
      <c r="C42" s="165">
        <v>101005000601</v>
      </c>
      <c r="D42" s="166" t="s">
        <v>89</v>
      </c>
      <c r="E42" s="169" t="s">
        <v>50</v>
      </c>
      <c r="F42" s="36"/>
      <c r="G42" s="36"/>
      <c r="H42" s="168" t="s">
        <v>83</v>
      </c>
      <c r="I42" s="169">
        <v>1</v>
      </c>
      <c r="J42" s="169">
        <v>2</v>
      </c>
      <c r="K42" s="167" t="s">
        <v>247</v>
      </c>
      <c r="L42" s="170" t="s">
        <v>274</v>
      </c>
      <c r="M42" s="170">
        <v>1.3120000000000001</v>
      </c>
    </row>
    <row r="43" spans="1:13" s="38" customFormat="1" ht="20.100000000000001" customHeight="1" x14ac:dyDescent="0.15">
      <c r="A43" s="14" t="s">
        <v>103</v>
      </c>
      <c r="B43" s="127"/>
      <c r="C43" s="7">
        <v>101005000595</v>
      </c>
      <c r="D43" s="8" t="s">
        <v>93</v>
      </c>
      <c r="E43" s="8" t="s">
        <v>48</v>
      </c>
      <c r="F43" s="36"/>
      <c r="G43" s="36"/>
      <c r="H43" s="8" t="s">
        <v>48</v>
      </c>
      <c r="I43" s="11">
        <v>1</v>
      </c>
      <c r="J43" s="11">
        <v>1</v>
      </c>
      <c r="K43" s="5"/>
    </row>
    <row r="44" spans="1:13" s="38" customFormat="1" ht="20.100000000000001" customHeight="1" x14ac:dyDescent="0.15">
      <c r="A44" s="16"/>
      <c r="B44" s="72"/>
      <c r="C44" s="7">
        <v>101005000596</v>
      </c>
      <c r="D44" s="8" t="s">
        <v>22</v>
      </c>
      <c r="E44" s="9" t="s">
        <v>82</v>
      </c>
      <c r="F44" s="115"/>
      <c r="G44" s="115"/>
      <c r="H44" s="15" t="s">
        <v>83</v>
      </c>
      <c r="I44" s="10">
        <v>1</v>
      </c>
      <c r="J44" s="10">
        <v>1</v>
      </c>
      <c r="K44" s="5"/>
    </row>
    <row r="45" spans="1:13" s="38" customFormat="1" ht="20.100000000000001" customHeight="1" x14ac:dyDescent="0.15">
      <c r="A45" s="16"/>
      <c r="B45" s="72"/>
      <c r="C45" s="7">
        <v>101005000597</v>
      </c>
      <c r="D45" s="8" t="s">
        <v>22</v>
      </c>
      <c r="E45" s="9" t="s">
        <v>82</v>
      </c>
      <c r="F45" s="115"/>
      <c r="G45" s="115"/>
      <c r="H45" s="15" t="s">
        <v>83</v>
      </c>
      <c r="I45" s="10">
        <v>1</v>
      </c>
      <c r="J45" s="10">
        <v>1</v>
      </c>
      <c r="K45" s="5"/>
    </row>
    <row r="46" spans="1:13" s="123" customFormat="1" ht="20.100000000000001" customHeight="1" x14ac:dyDescent="0.15">
      <c r="A46" s="117"/>
      <c r="B46" s="128"/>
      <c r="C46" s="118">
        <v>101005000600</v>
      </c>
      <c r="D46" s="119" t="s">
        <v>56</v>
      </c>
      <c r="E46" s="67" t="s">
        <v>82</v>
      </c>
      <c r="F46" s="36"/>
      <c r="G46" s="36"/>
      <c r="H46" s="120" t="s">
        <v>83</v>
      </c>
      <c r="I46" s="121">
        <v>1</v>
      </c>
      <c r="J46" s="121"/>
      <c r="K46" s="122"/>
    </row>
    <row r="47" spans="1:13" s="123" customFormat="1" ht="20.100000000000001" customHeight="1" x14ac:dyDescent="0.15">
      <c r="A47" s="117"/>
      <c r="B47" s="128"/>
      <c r="C47" s="118">
        <v>101005000601</v>
      </c>
      <c r="D47" s="119" t="s">
        <v>89</v>
      </c>
      <c r="E47" s="121" t="s">
        <v>50</v>
      </c>
      <c r="F47" s="124"/>
      <c r="G47" s="124"/>
      <c r="H47" s="120" t="s">
        <v>83</v>
      </c>
      <c r="I47" s="121">
        <v>1</v>
      </c>
      <c r="J47" s="121"/>
      <c r="K47" s="122"/>
      <c r="L47" s="159"/>
      <c r="M47" s="159"/>
    </row>
    <row r="48" spans="1:13" s="35" customFormat="1" ht="20.100000000000001" customHeight="1" x14ac:dyDescent="0.15">
      <c r="A48" s="110">
        <v>39</v>
      </c>
      <c r="B48" s="50"/>
      <c r="C48" s="17" t="s">
        <v>104</v>
      </c>
      <c r="D48" s="5" t="s">
        <v>14</v>
      </c>
      <c r="E48" s="5" t="s">
        <v>105</v>
      </c>
      <c r="F48" s="57"/>
      <c r="G48" s="57"/>
      <c r="H48" s="5" t="s">
        <v>83</v>
      </c>
      <c r="I48" s="5">
        <v>1</v>
      </c>
      <c r="J48" s="79">
        <v>1</v>
      </c>
      <c r="K48" s="42">
        <v>20241221</v>
      </c>
    </row>
    <row r="49" spans="1:13" s="35" customFormat="1" ht="20.100000000000001" customHeight="1" x14ac:dyDescent="0.15">
      <c r="A49" s="110">
        <v>40</v>
      </c>
      <c r="B49" s="50"/>
      <c r="C49" s="18">
        <v>101005000657</v>
      </c>
      <c r="D49" s="5" t="s">
        <v>15</v>
      </c>
      <c r="E49" s="19" t="s">
        <v>71</v>
      </c>
      <c r="F49" s="64"/>
      <c r="G49" s="64"/>
      <c r="H49" s="62" t="s">
        <v>83</v>
      </c>
      <c r="I49" s="19">
        <v>1</v>
      </c>
      <c r="J49" s="79">
        <v>1</v>
      </c>
      <c r="K49" s="42">
        <v>20241221</v>
      </c>
    </row>
    <row r="50" spans="1:13" s="38" customFormat="1" ht="20.100000000000001" customHeight="1" x14ac:dyDescent="0.15">
      <c r="A50" s="5">
        <v>41</v>
      </c>
      <c r="B50" s="129"/>
      <c r="C50" s="18">
        <v>101005002376</v>
      </c>
      <c r="D50" s="26" t="s">
        <v>106</v>
      </c>
      <c r="E50" s="20" t="s">
        <v>48</v>
      </c>
      <c r="F50" s="21"/>
      <c r="G50" s="21"/>
      <c r="H50" s="26" t="s">
        <v>48</v>
      </c>
      <c r="I50" s="21">
        <v>1</v>
      </c>
      <c r="J50" s="21">
        <v>1</v>
      </c>
      <c r="K50" s="41">
        <v>20241221</v>
      </c>
    </row>
    <row r="51" spans="1:13" s="38" customFormat="1" ht="20.100000000000001" customHeight="1" x14ac:dyDescent="0.15">
      <c r="A51" s="6"/>
      <c r="B51" s="129"/>
      <c r="C51" s="23">
        <v>101005002377</v>
      </c>
      <c r="D51" s="9" t="s">
        <v>22</v>
      </c>
      <c r="E51" s="24" t="s">
        <v>82</v>
      </c>
      <c r="F51" s="63"/>
      <c r="G51" s="63"/>
      <c r="H51" s="15" t="s">
        <v>107</v>
      </c>
      <c r="I51" s="24">
        <v>1</v>
      </c>
      <c r="J51" s="24">
        <v>1</v>
      </c>
      <c r="K51" s="41"/>
    </row>
    <row r="52" spans="1:13" s="38" customFormat="1" ht="20.100000000000001" customHeight="1" x14ac:dyDescent="0.15">
      <c r="A52" s="6"/>
      <c r="B52" s="129"/>
      <c r="C52" s="23">
        <v>101005000663</v>
      </c>
      <c r="D52" s="9" t="s">
        <v>22</v>
      </c>
      <c r="E52" s="24" t="s">
        <v>82</v>
      </c>
      <c r="F52" s="63"/>
      <c r="G52" s="63"/>
      <c r="H52" s="15" t="s">
        <v>107</v>
      </c>
      <c r="I52" s="24">
        <v>1</v>
      </c>
      <c r="J52" s="24">
        <v>1</v>
      </c>
      <c r="K52" s="41"/>
    </row>
    <row r="53" spans="1:13" s="38" customFormat="1" ht="20.100000000000001" customHeight="1" x14ac:dyDescent="0.15">
      <c r="A53" s="6"/>
      <c r="B53" s="129"/>
      <c r="C53" s="23">
        <v>101005002378</v>
      </c>
      <c r="D53" s="9" t="s">
        <v>22</v>
      </c>
      <c r="E53" s="24" t="s">
        <v>82</v>
      </c>
      <c r="F53" s="63"/>
      <c r="G53" s="63"/>
      <c r="H53" s="15" t="s">
        <v>107</v>
      </c>
      <c r="I53" s="24">
        <v>1</v>
      </c>
      <c r="J53" s="24">
        <v>1</v>
      </c>
      <c r="K53" s="41"/>
    </row>
    <row r="54" spans="1:13" s="38" customFormat="1" ht="20.100000000000001" customHeight="1" x14ac:dyDescent="0.15">
      <c r="A54" s="6"/>
      <c r="B54" s="129"/>
      <c r="C54" s="23">
        <v>101005000666</v>
      </c>
      <c r="D54" s="112" t="s">
        <v>77</v>
      </c>
      <c r="E54" s="24" t="s">
        <v>82</v>
      </c>
      <c r="F54" s="63"/>
      <c r="G54" s="63"/>
      <c r="H54" s="15" t="s">
        <v>107</v>
      </c>
      <c r="I54" s="24">
        <v>2</v>
      </c>
      <c r="J54" s="24">
        <v>2</v>
      </c>
      <c r="K54" s="41"/>
    </row>
    <row r="55" spans="1:13" s="38" customFormat="1" ht="20.100000000000001" customHeight="1" x14ac:dyDescent="0.15">
      <c r="A55" s="6"/>
      <c r="B55" s="129"/>
      <c r="C55" s="23">
        <v>101005000662</v>
      </c>
      <c r="D55" s="112" t="s">
        <v>108</v>
      </c>
      <c r="E55" s="24" t="s">
        <v>71</v>
      </c>
      <c r="F55" s="63"/>
      <c r="G55" s="63"/>
      <c r="H55" s="15" t="s">
        <v>107</v>
      </c>
      <c r="I55" s="24">
        <v>2</v>
      </c>
      <c r="J55" s="24">
        <v>2</v>
      </c>
      <c r="K55" s="41"/>
    </row>
    <row r="56" spans="1:13" s="38" customFormat="1" ht="20.100000000000001" customHeight="1" x14ac:dyDescent="0.15">
      <c r="A56" s="6"/>
      <c r="B56" s="129"/>
      <c r="C56" s="23">
        <v>101005000668</v>
      </c>
      <c r="D56" s="112" t="s">
        <v>108</v>
      </c>
      <c r="E56" s="24" t="s">
        <v>71</v>
      </c>
      <c r="F56" s="63"/>
      <c r="G56" s="63"/>
      <c r="H56" s="15" t="s">
        <v>107</v>
      </c>
      <c r="I56" s="24">
        <v>2</v>
      </c>
      <c r="J56" s="24">
        <v>2</v>
      </c>
      <c r="K56" s="41"/>
    </row>
    <row r="57" spans="1:13" s="38" customFormat="1" ht="20.100000000000001" customHeight="1" x14ac:dyDescent="0.15">
      <c r="A57" s="6"/>
      <c r="B57" s="129"/>
      <c r="C57" s="23">
        <v>101005000794</v>
      </c>
      <c r="D57" s="9" t="s">
        <v>22</v>
      </c>
      <c r="E57" s="24" t="s">
        <v>109</v>
      </c>
      <c r="F57" s="63"/>
      <c r="G57" s="63"/>
      <c r="H57" s="15" t="s">
        <v>107</v>
      </c>
      <c r="I57" s="24">
        <v>2</v>
      </c>
      <c r="J57" s="24">
        <v>2</v>
      </c>
      <c r="K57" s="41"/>
    </row>
    <row r="58" spans="1:13" s="38" customFormat="1" ht="20.100000000000001" customHeight="1" x14ac:dyDescent="0.15">
      <c r="A58" s="6"/>
      <c r="B58" s="129"/>
      <c r="C58" s="23">
        <v>101005000796</v>
      </c>
      <c r="D58" s="9" t="s">
        <v>22</v>
      </c>
      <c r="E58" s="24" t="s">
        <v>109</v>
      </c>
      <c r="F58" s="63"/>
      <c r="G58" s="63"/>
      <c r="H58" s="15" t="s">
        <v>107</v>
      </c>
      <c r="I58" s="24">
        <v>1</v>
      </c>
      <c r="J58" s="24">
        <v>1</v>
      </c>
      <c r="K58" s="41"/>
    </row>
    <row r="59" spans="1:13" s="38" customFormat="1" ht="20.100000000000001" customHeight="1" x14ac:dyDescent="0.15">
      <c r="A59" s="6"/>
      <c r="B59" s="129"/>
      <c r="C59" s="23">
        <v>101005000797</v>
      </c>
      <c r="D59" s="9" t="s">
        <v>22</v>
      </c>
      <c r="E59" s="24" t="s">
        <v>109</v>
      </c>
      <c r="F59" s="63"/>
      <c r="G59" s="63"/>
      <c r="H59" s="15" t="s">
        <v>107</v>
      </c>
      <c r="I59" s="24">
        <v>2</v>
      </c>
      <c r="J59" s="24">
        <v>2</v>
      </c>
      <c r="K59" s="41"/>
    </row>
    <row r="60" spans="1:13" s="38" customFormat="1" ht="20.100000000000001" customHeight="1" x14ac:dyDescent="0.15">
      <c r="A60" s="6"/>
      <c r="B60" s="129"/>
      <c r="C60" s="23">
        <v>101005000799</v>
      </c>
      <c r="D60" s="112" t="s">
        <v>11</v>
      </c>
      <c r="E60" s="24" t="s">
        <v>109</v>
      </c>
      <c r="F60" s="63"/>
      <c r="G60" s="63"/>
      <c r="H60" s="15" t="s">
        <v>107</v>
      </c>
      <c r="I60" s="24">
        <v>2</v>
      </c>
      <c r="J60" s="24">
        <v>2</v>
      </c>
      <c r="K60" s="41"/>
    </row>
    <row r="61" spans="1:13" s="203" customFormat="1" ht="20.100000000000001" customHeight="1" x14ac:dyDescent="0.15">
      <c r="A61" s="197"/>
      <c r="B61" s="213">
        <v>1202010005941</v>
      </c>
      <c r="C61" s="214" t="s">
        <v>284</v>
      </c>
      <c r="D61" s="212" t="s">
        <v>248</v>
      </c>
      <c r="E61" s="200" t="s">
        <v>282</v>
      </c>
      <c r="F61" s="24"/>
      <c r="G61" s="24"/>
      <c r="H61" s="201" t="s">
        <v>110</v>
      </c>
      <c r="I61" s="200">
        <v>8</v>
      </c>
      <c r="J61" s="200">
        <v>8</v>
      </c>
      <c r="K61" s="197" t="s">
        <v>281</v>
      </c>
      <c r="L61" s="202"/>
      <c r="M61" s="202"/>
    </row>
    <row r="62" spans="1:13" s="203" customFormat="1" ht="20.100000000000001" customHeight="1" x14ac:dyDescent="0.15">
      <c r="A62" s="197"/>
      <c r="B62" s="198">
        <v>1202020005699</v>
      </c>
      <c r="C62" s="214" t="s">
        <v>283</v>
      </c>
      <c r="D62" s="199" t="s">
        <v>250</v>
      </c>
      <c r="E62" s="211" t="s">
        <v>249</v>
      </c>
      <c r="F62" s="24"/>
      <c r="G62" s="24"/>
      <c r="H62" s="201" t="s">
        <v>110</v>
      </c>
      <c r="I62" s="200">
        <v>14</v>
      </c>
      <c r="J62" s="200">
        <v>14</v>
      </c>
      <c r="K62" s="197" t="s">
        <v>111</v>
      </c>
      <c r="L62" s="202"/>
      <c r="M62" s="202"/>
    </row>
    <row r="63" spans="1:13" s="35" customFormat="1" ht="20.100000000000001" customHeight="1" x14ac:dyDescent="0.15">
      <c r="A63" s="5">
        <v>42</v>
      </c>
      <c r="B63" s="31"/>
      <c r="C63" s="18">
        <v>101005002000</v>
      </c>
      <c r="D63" s="113" t="s">
        <v>16</v>
      </c>
      <c r="E63" s="19" t="s">
        <v>48</v>
      </c>
      <c r="F63" s="22"/>
      <c r="G63" s="22"/>
      <c r="H63" s="5" t="s">
        <v>48</v>
      </c>
      <c r="I63" s="19">
        <v>1</v>
      </c>
      <c r="J63" s="44">
        <v>6</v>
      </c>
      <c r="K63" s="19">
        <v>20241221</v>
      </c>
    </row>
    <row r="64" spans="1:13" s="38" customFormat="1" ht="20.100000000000001" customHeight="1" x14ac:dyDescent="0.15">
      <c r="A64" s="6"/>
      <c r="B64" s="129"/>
      <c r="C64" s="23">
        <v>101005002001</v>
      </c>
      <c r="D64" s="9" t="s">
        <v>11</v>
      </c>
      <c r="E64" s="24" t="s">
        <v>109</v>
      </c>
      <c r="F64" s="132"/>
      <c r="G64" s="132"/>
      <c r="H64" s="8" t="s">
        <v>107</v>
      </c>
      <c r="I64" s="25">
        <v>2</v>
      </c>
      <c r="J64" s="47">
        <f>I64*6</f>
        <v>12</v>
      </c>
      <c r="K64" s="41"/>
    </row>
    <row r="65" spans="1:13" s="38" customFormat="1" ht="20.100000000000001" customHeight="1" x14ac:dyDescent="0.15">
      <c r="A65" s="6"/>
      <c r="B65" s="129"/>
      <c r="C65" s="23">
        <v>101005002002</v>
      </c>
      <c r="D65" s="9" t="s">
        <v>11</v>
      </c>
      <c r="E65" s="24" t="s">
        <v>109</v>
      </c>
      <c r="F65" s="225"/>
      <c r="G65" s="225"/>
      <c r="H65" s="8" t="s">
        <v>107</v>
      </c>
      <c r="I65" s="25">
        <v>2</v>
      </c>
      <c r="J65" s="47">
        <f>I65*6</f>
        <v>12</v>
      </c>
      <c r="K65" s="41"/>
    </row>
    <row r="66" spans="1:13" s="35" customFormat="1" ht="20.100000000000001" customHeight="1" x14ac:dyDescent="0.15">
      <c r="A66" s="5">
        <v>43</v>
      </c>
      <c r="B66" s="31"/>
      <c r="C66" s="18">
        <v>101005003110</v>
      </c>
      <c r="D66" s="113" t="s">
        <v>17</v>
      </c>
      <c r="E66" s="19" t="s">
        <v>48</v>
      </c>
      <c r="F66" s="22"/>
      <c r="G66" s="22"/>
      <c r="H66" s="5" t="s">
        <v>48</v>
      </c>
      <c r="I66" s="22">
        <v>1</v>
      </c>
      <c r="J66" s="22">
        <v>1</v>
      </c>
      <c r="K66" s="19">
        <v>20241221</v>
      </c>
    </row>
    <row r="67" spans="1:13" s="38" customFormat="1" ht="20.100000000000001" customHeight="1" x14ac:dyDescent="0.15">
      <c r="A67" s="6"/>
      <c r="B67" s="129"/>
      <c r="C67" s="23">
        <v>101005000673</v>
      </c>
      <c r="D67" s="9" t="s">
        <v>22</v>
      </c>
      <c r="E67" s="24" t="s">
        <v>109</v>
      </c>
      <c r="F67" s="138"/>
      <c r="G67" s="138"/>
      <c r="H67" s="8" t="s">
        <v>107</v>
      </c>
      <c r="I67" s="25">
        <v>1</v>
      </c>
      <c r="J67" s="25">
        <v>1</v>
      </c>
      <c r="K67" s="24"/>
    </row>
    <row r="68" spans="1:13" s="38" customFormat="1" ht="20.100000000000001" customHeight="1" x14ac:dyDescent="0.15">
      <c r="A68" s="6"/>
      <c r="B68" s="129"/>
      <c r="C68" s="23">
        <v>101005000674</v>
      </c>
      <c r="D68" s="9" t="s">
        <v>11</v>
      </c>
      <c r="E68" s="24" t="s">
        <v>109</v>
      </c>
      <c r="F68" s="138"/>
      <c r="G68" s="138"/>
      <c r="H68" s="8" t="s">
        <v>107</v>
      </c>
      <c r="I68" s="25">
        <v>2</v>
      </c>
      <c r="J68" s="25">
        <v>2</v>
      </c>
      <c r="K68" s="24" t="s">
        <v>116</v>
      </c>
    </row>
    <row r="69" spans="1:13" s="171" customFormat="1" ht="20.100000000000001" customHeight="1" x14ac:dyDescent="0.25">
      <c r="A69" s="174"/>
      <c r="B69" s="175"/>
      <c r="C69" s="176">
        <v>101005000681</v>
      </c>
      <c r="D69" s="167" t="s">
        <v>112</v>
      </c>
      <c r="E69" s="177" t="s">
        <v>50</v>
      </c>
      <c r="F69" s="22"/>
      <c r="G69" s="22"/>
      <c r="H69" s="166" t="s">
        <v>107</v>
      </c>
      <c r="I69" s="177">
        <v>8</v>
      </c>
      <c r="J69" s="177">
        <v>12</v>
      </c>
      <c r="K69" s="178" t="s">
        <v>255</v>
      </c>
      <c r="L69" s="170" t="s">
        <v>275</v>
      </c>
      <c r="M69" s="170">
        <v>2.6040000000000001</v>
      </c>
    </row>
    <row r="70" spans="1:13" s="38" customFormat="1" ht="20.100000000000001" customHeight="1" x14ac:dyDescent="0.15">
      <c r="A70" s="6"/>
      <c r="B70" s="129"/>
      <c r="C70" s="23">
        <v>101005000683</v>
      </c>
      <c r="D70" s="9" t="s">
        <v>72</v>
      </c>
      <c r="E70" s="24" t="s">
        <v>82</v>
      </c>
      <c r="F70" s="138"/>
      <c r="G70" s="138"/>
      <c r="H70" s="8" t="s">
        <v>107</v>
      </c>
      <c r="I70" s="25">
        <v>1</v>
      </c>
      <c r="J70" s="25">
        <v>1</v>
      </c>
      <c r="K70" s="24"/>
    </row>
    <row r="71" spans="1:13" s="38" customFormat="1" ht="20.100000000000001" customHeight="1" x14ac:dyDescent="0.15">
      <c r="A71" s="6"/>
      <c r="B71" s="129"/>
      <c r="C71" s="23">
        <v>101005000686</v>
      </c>
      <c r="D71" s="9" t="s">
        <v>113</v>
      </c>
      <c r="E71" s="25" t="s">
        <v>70</v>
      </c>
      <c r="F71" s="138"/>
      <c r="G71" s="138"/>
      <c r="H71" s="8" t="s">
        <v>107</v>
      </c>
      <c r="I71" s="25">
        <v>8</v>
      </c>
      <c r="J71" s="25">
        <v>14</v>
      </c>
      <c r="K71" s="24" t="s">
        <v>251</v>
      </c>
    </row>
    <row r="72" spans="1:13" s="38" customFormat="1" ht="20.100000000000001" customHeight="1" x14ac:dyDescent="0.15">
      <c r="A72" s="6"/>
      <c r="B72" s="129"/>
      <c r="C72" s="23">
        <v>101005000791</v>
      </c>
      <c r="D72" s="9" t="s">
        <v>11</v>
      </c>
      <c r="E72" s="24" t="s">
        <v>109</v>
      </c>
      <c r="F72" s="138"/>
      <c r="G72" s="138"/>
      <c r="H72" s="8" t="s">
        <v>107</v>
      </c>
      <c r="I72" s="25">
        <v>2</v>
      </c>
      <c r="J72" s="25">
        <v>2</v>
      </c>
      <c r="K72" s="24"/>
    </row>
    <row r="73" spans="1:13" s="38" customFormat="1" ht="20.100000000000001" customHeight="1" x14ac:dyDescent="0.15">
      <c r="A73" s="6"/>
      <c r="B73" s="129"/>
      <c r="C73" s="23">
        <v>101005000793</v>
      </c>
      <c r="D73" s="9" t="s">
        <v>22</v>
      </c>
      <c r="E73" s="24" t="s">
        <v>109</v>
      </c>
      <c r="F73" s="138"/>
      <c r="G73" s="138"/>
      <c r="H73" s="8" t="s">
        <v>107</v>
      </c>
      <c r="I73" s="25">
        <v>1</v>
      </c>
      <c r="J73" s="25">
        <v>1</v>
      </c>
      <c r="K73" s="24"/>
    </row>
    <row r="74" spans="1:13" s="38" customFormat="1" ht="20.100000000000001" customHeight="1" x14ac:dyDescent="0.15">
      <c r="A74" s="6"/>
      <c r="B74" s="129"/>
      <c r="C74" s="23">
        <v>101005001992</v>
      </c>
      <c r="D74" s="9" t="s">
        <v>22</v>
      </c>
      <c r="E74" s="24" t="s">
        <v>109</v>
      </c>
      <c r="F74" s="138"/>
      <c r="G74" s="138"/>
      <c r="H74" s="8" t="s">
        <v>107</v>
      </c>
      <c r="I74" s="25">
        <v>8</v>
      </c>
      <c r="J74" s="25">
        <v>12</v>
      </c>
      <c r="K74" s="24" t="s">
        <v>252</v>
      </c>
    </row>
    <row r="75" spans="1:13" s="38" customFormat="1" ht="20.100000000000001" customHeight="1" x14ac:dyDescent="0.15">
      <c r="A75" s="6"/>
      <c r="B75" s="129"/>
      <c r="C75" s="23">
        <v>101005001993</v>
      </c>
      <c r="D75" s="9" t="s">
        <v>22</v>
      </c>
      <c r="E75" s="24" t="s">
        <v>109</v>
      </c>
      <c r="F75" s="138"/>
      <c r="G75" s="138"/>
      <c r="H75" s="8" t="s">
        <v>107</v>
      </c>
      <c r="I75" s="25">
        <v>8</v>
      </c>
      <c r="J75" s="25">
        <v>12</v>
      </c>
      <c r="K75" s="24" t="s">
        <v>252</v>
      </c>
    </row>
    <row r="76" spans="1:13" s="38" customFormat="1" ht="20.100000000000001" customHeight="1" x14ac:dyDescent="0.15">
      <c r="A76" s="6"/>
      <c r="B76" s="129"/>
      <c r="C76" s="23">
        <v>101005001997</v>
      </c>
      <c r="D76" s="9" t="s">
        <v>114</v>
      </c>
      <c r="E76" s="24" t="s">
        <v>115</v>
      </c>
      <c r="F76" s="138"/>
      <c r="G76" s="138"/>
      <c r="H76" s="8" t="s">
        <v>107</v>
      </c>
      <c r="I76" s="25">
        <v>4</v>
      </c>
      <c r="J76" s="25">
        <v>6</v>
      </c>
      <c r="K76" s="24" t="s">
        <v>253</v>
      </c>
    </row>
    <row r="77" spans="1:13" s="38" customFormat="1" ht="20.100000000000001" customHeight="1" x14ac:dyDescent="0.15">
      <c r="A77" s="6"/>
      <c r="B77" s="129"/>
      <c r="C77" s="23">
        <v>101005002852</v>
      </c>
      <c r="D77" s="9" t="s">
        <v>72</v>
      </c>
      <c r="E77" s="24" t="s">
        <v>82</v>
      </c>
      <c r="F77" s="138"/>
      <c r="G77" s="138"/>
      <c r="H77" s="8" t="s">
        <v>107</v>
      </c>
      <c r="I77" s="25">
        <v>4</v>
      </c>
      <c r="J77" s="25">
        <v>6</v>
      </c>
      <c r="K77" s="24" t="s">
        <v>253</v>
      </c>
    </row>
    <row r="78" spans="1:13" s="38" customFormat="1" ht="20.100000000000001" customHeight="1" x14ac:dyDescent="0.15">
      <c r="A78" s="6"/>
      <c r="B78" s="129"/>
      <c r="C78" s="23">
        <v>101005003111</v>
      </c>
      <c r="D78" s="9" t="s">
        <v>22</v>
      </c>
      <c r="E78" s="24" t="s">
        <v>109</v>
      </c>
      <c r="F78" s="138"/>
      <c r="G78" s="138"/>
      <c r="H78" s="8" t="s">
        <v>107</v>
      </c>
      <c r="I78" s="25">
        <v>1</v>
      </c>
      <c r="J78" s="25">
        <v>1</v>
      </c>
      <c r="K78" s="24"/>
    </row>
    <row r="79" spans="1:13" s="203" customFormat="1" ht="20.100000000000001" customHeight="1" x14ac:dyDescent="0.15">
      <c r="A79" s="197"/>
      <c r="B79" s="198">
        <v>1202020005700</v>
      </c>
      <c r="C79" s="214" t="s">
        <v>283</v>
      </c>
      <c r="D79" s="199" t="s">
        <v>250</v>
      </c>
      <c r="E79" s="200" t="s">
        <v>256</v>
      </c>
      <c r="F79" s="24"/>
      <c r="G79" s="24"/>
      <c r="H79" s="201" t="s">
        <v>110</v>
      </c>
      <c r="I79" s="200">
        <v>32</v>
      </c>
      <c r="J79" s="200">
        <v>32</v>
      </c>
      <c r="K79" s="200" t="s">
        <v>257</v>
      </c>
      <c r="L79" s="202"/>
      <c r="M79" s="202"/>
    </row>
    <row r="80" spans="1:13" s="35" customFormat="1" ht="20.100000000000001" customHeight="1" x14ac:dyDescent="0.15">
      <c r="A80" s="5">
        <v>44</v>
      </c>
      <c r="B80" s="31"/>
      <c r="C80" s="18">
        <v>101005003113</v>
      </c>
      <c r="D80" s="113" t="s">
        <v>17</v>
      </c>
      <c r="E80" s="19" t="s">
        <v>48</v>
      </c>
      <c r="F80" s="22"/>
      <c r="G80" s="22"/>
      <c r="H80" s="5" t="s">
        <v>48</v>
      </c>
      <c r="I80" s="22">
        <v>1</v>
      </c>
      <c r="J80" s="22">
        <v>1</v>
      </c>
      <c r="K80" s="19">
        <v>20241221</v>
      </c>
    </row>
    <row r="81" spans="1:13" s="38" customFormat="1" ht="20.100000000000001" customHeight="1" x14ac:dyDescent="0.15">
      <c r="A81" s="6"/>
      <c r="B81" s="129"/>
      <c r="C81" s="23">
        <v>101005000675</v>
      </c>
      <c r="D81" s="7" t="s">
        <v>11</v>
      </c>
      <c r="E81" s="24" t="s">
        <v>109</v>
      </c>
      <c r="F81" s="139"/>
      <c r="G81" s="138"/>
      <c r="H81" s="8" t="s">
        <v>107</v>
      </c>
      <c r="I81" s="25">
        <v>1</v>
      </c>
      <c r="J81" s="25">
        <v>1</v>
      </c>
      <c r="K81" s="41"/>
    </row>
    <row r="82" spans="1:13" s="38" customFormat="1" ht="20.100000000000001" customHeight="1" x14ac:dyDescent="0.15">
      <c r="A82" s="6"/>
      <c r="B82" s="129"/>
      <c r="C82" s="23">
        <v>101005000676</v>
      </c>
      <c r="D82" s="7" t="s">
        <v>117</v>
      </c>
      <c r="E82" s="24" t="s">
        <v>109</v>
      </c>
      <c r="F82" s="139"/>
      <c r="G82" s="138"/>
      <c r="H82" s="8" t="s">
        <v>107</v>
      </c>
      <c r="I82" s="25">
        <v>1</v>
      </c>
      <c r="J82" s="25">
        <v>1</v>
      </c>
      <c r="K82" s="41"/>
    </row>
    <row r="83" spans="1:13" s="123" customFormat="1" ht="20.100000000000001" customHeight="1" x14ac:dyDescent="0.15">
      <c r="A83" s="133"/>
      <c r="B83" s="134"/>
      <c r="C83" s="135">
        <v>101005000681</v>
      </c>
      <c r="D83" s="118" t="s">
        <v>112</v>
      </c>
      <c r="E83" s="66" t="s">
        <v>70</v>
      </c>
      <c r="F83" s="105"/>
      <c r="G83" s="22"/>
      <c r="H83" s="119" t="s">
        <v>107</v>
      </c>
      <c r="I83" s="136">
        <v>4</v>
      </c>
      <c r="J83" s="136"/>
      <c r="K83" s="137"/>
    </row>
    <row r="84" spans="1:13" s="123" customFormat="1" ht="20.100000000000001" customHeight="1" x14ac:dyDescent="0.15">
      <c r="A84" s="133"/>
      <c r="B84" s="134"/>
      <c r="C84" s="135">
        <v>101005000686</v>
      </c>
      <c r="D84" s="118" t="s">
        <v>113</v>
      </c>
      <c r="E84" s="66" t="s">
        <v>70</v>
      </c>
      <c r="F84" s="105"/>
      <c r="G84" s="22"/>
      <c r="H84" s="119" t="s">
        <v>107</v>
      </c>
      <c r="I84" s="136">
        <v>6</v>
      </c>
      <c r="J84" s="136"/>
      <c r="K84" s="137"/>
    </row>
    <row r="85" spans="1:13" s="123" customFormat="1" ht="20.100000000000001" customHeight="1" x14ac:dyDescent="0.15">
      <c r="A85" s="133"/>
      <c r="B85" s="134"/>
      <c r="C85" s="135">
        <v>101005001992</v>
      </c>
      <c r="D85" s="118" t="s">
        <v>22</v>
      </c>
      <c r="E85" s="66" t="s">
        <v>109</v>
      </c>
      <c r="F85" s="105"/>
      <c r="G85" s="22"/>
      <c r="H85" s="119" t="s">
        <v>107</v>
      </c>
      <c r="I85" s="136">
        <v>4</v>
      </c>
      <c r="J85" s="136"/>
      <c r="K85" s="137"/>
    </row>
    <row r="86" spans="1:13" s="123" customFormat="1" ht="20.100000000000001" customHeight="1" x14ac:dyDescent="0.15">
      <c r="A86" s="133"/>
      <c r="B86" s="134"/>
      <c r="C86" s="135">
        <v>101005001993</v>
      </c>
      <c r="D86" s="118" t="s">
        <v>117</v>
      </c>
      <c r="E86" s="66" t="s">
        <v>109</v>
      </c>
      <c r="F86" s="105"/>
      <c r="G86" s="22"/>
      <c r="H86" s="119" t="s">
        <v>107</v>
      </c>
      <c r="I86" s="136">
        <v>4</v>
      </c>
      <c r="J86" s="136"/>
      <c r="K86" s="137"/>
    </row>
    <row r="87" spans="1:13" s="123" customFormat="1" ht="20.100000000000001" customHeight="1" x14ac:dyDescent="0.15">
      <c r="A87" s="133"/>
      <c r="B87" s="134"/>
      <c r="C87" s="135">
        <v>101005001997</v>
      </c>
      <c r="D87" s="118" t="s">
        <v>114</v>
      </c>
      <c r="E87" s="66" t="s">
        <v>115</v>
      </c>
      <c r="F87" s="105"/>
      <c r="G87" s="22"/>
      <c r="H87" s="119" t="s">
        <v>107</v>
      </c>
      <c r="I87" s="136">
        <v>2</v>
      </c>
      <c r="J87" s="136"/>
      <c r="K87" s="137"/>
    </row>
    <row r="88" spans="1:13" s="123" customFormat="1" ht="20.100000000000001" customHeight="1" x14ac:dyDescent="0.15">
      <c r="A88" s="133"/>
      <c r="B88" s="134"/>
      <c r="C88" s="135">
        <v>101005002852</v>
      </c>
      <c r="D88" s="118" t="s">
        <v>72</v>
      </c>
      <c r="E88" s="66" t="s">
        <v>82</v>
      </c>
      <c r="F88" s="105"/>
      <c r="G88" s="25"/>
      <c r="H88" s="119" t="s">
        <v>107</v>
      </c>
      <c r="I88" s="136">
        <v>2</v>
      </c>
      <c r="J88" s="136"/>
      <c r="K88" s="137"/>
    </row>
    <row r="89" spans="1:13" s="38" customFormat="1" ht="20.100000000000001" customHeight="1" x14ac:dyDescent="0.15">
      <c r="A89" s="6"/>
      <c r="B89" s="129"/>
      <c r="C89" s="23">
        <v>101005003114</v>
      </c>
      <c r="D89" s="7" t="s">
        <v>22</v>
      </c>
      <c r="E89" s="24" t="s">
        <v>109</v>
      </c>
      <c r="F89" s="139"/>
      <c r="G89" s="138"/>
      <c r="H89" s="8" t="s">
        <v>107</v>
      </c>
      <c r="I89" s="25">
        <v>1</v>
      </c>
      <c r="J89" s="25">
        <v>1</v>
      </c>
      <c r="K89" s="41"/>
    </row>
    <row r="90" spans="1:13" s="203" customFormat="1" ht="20.100000000000001" customHeight="1" x14ac:dyDescent="0.15">
      <c r="A90" s="197"/>
      <c r="B90" s="198">
        <v>1202020005700</v>
      </c>
      <c r="C90" s="214" t="s">
        <v>283</v>
      </c>
      <c r="D90" s="199" t="s">
        <v>250</v>
      </c>
      <c r="E90" s="200" t="s">
        <v>256</v>
      </c>
      <c r="F90" s="24"/>
      <c r="G90" s="24"/>
      <c r="H90" s="201" t="s">
        <v>110</v>
      </c>
      <c r="I90" s="200">
        <v>16</v>
      </c>
      <c r="J90" s="200">
        <v>16</v>
      </c>
      <c r="K90" s="200" t="s">
        <v>257</v>
      </c>
      <c r="L90" s="202"/>
      <c r="M90" s="202"/>
    </row>
    <row r="91" spans="1:13" s="35" customFormat="1" ht="20.100000000000001" customHeight="1" x14ac:dyDescent="0.15">
      <c r="A91" s="110">
        <v>45</v>
      </c>
      <c r="B91" s="50"/>
      <c r="C91" s="80" t="s">
        <v>118</v>
      </c>
      <c r="D91" s="5" t="s">
        <v>18</v>
      </c>
      <c r="E91" s="20" t="s">
        <v>71</v>
      </c>
      <c r="F91" s="64"/>
      <c r="G91" s="64"/>
      <c r="H91" s="26" t="s">
        <v>83</v>
      </c>
      <c r="I91" s="19">
        <v>1</v>
      </c>
      <c r="J91" s="79">
        <v>2</v>
      </c>
      <c r="K91" s="42">
        <v>250311</v>
      </c>
    </row>
    <row r="92" spans="1:13" s="35" customFormat="1" ht="20.100000000000001" customHeight="1" x14ac:dyDescent="0.15">
      <c r="A92" s="110">
        <v>46</v>
      </c>
      <c r="B92" s="50"/>
      <c r="C92" s="80" t="s">
        <v>119</v>
      </c>
      <c r="D92" s="5" t="s">
        <v>19</v>
      </c>
      <c r="E92" s="20" t="s">
        <v>105</v>
      </c>
      <c r="F92" s="64"/>
      <c r="G92" s="64"/>
      <c r="H92" s="16" t="s">
        <v>83</v>
      </c>
      <c r="I92" s="19">
        <v>1</v>
      </c>
      <c r="J92" s="79">
        <v>2</v>
      </c>
      <c r="K92" s="42">
        <v>250214</v>
      </c>
    </row>
    <row r="93" spans="1:13" s="35" customFormat="1" ht="20.100000000000001" customHeight="1" x14ac:dyDescent="0.15">
      <c r="A93" s="5">
        <v>47</v>
      </c>
      <c r="B93" s="31"/>
      <c r="C93" s="80" t="s">
        <v>120</v>
      </c>
      <c r="D93" s="5" t="s">
        <v>20</v>
      </c>
      <c r="E93" s="20" t="s">
        <v>48</v>
      </c>
      <c r="F93" s="19"/>
      <c r="G93" s="19"/>
      <c r="H93" s="26" t="s">
        <v>48</v>
      </c>
      <c r="I93" s="19">
        <v>1</v>
      </c>
      <c r="J93" s="19">
        <v>1</v>
      </c>
      <c r="K93" s="19">
        <v>250214</v>
      </c>
    </row>
    <row r="94" spans="1:13" s="38" customFormat="1" ht="20.100000000000001" customHeight="1" x14ac:dyDescent="0.15">
      <c r="A94" s="6"/>
      <c r="B94" s="129"/>
      <c r="C94" s="81" t="s">
        <v>121</v>
      </c>
      <c r="D94" s="6" t="s">
        <v>22</v>
      </c>
      <c r="E94" s="27" t="s">
        <v>109</v>
      </c>
      <c r="F94" s="63"/>
      <c r="G94" s="63"/>
      <c r="H94" s="8" t="s">
        <v>107</v>
      </c>
      <c r="I94" s="41">
        <v>2</v>
      </c>
      <c r="J94" s="41">
        <v>2</v>
      </c>
      <c r="K94" s="41"/>
    </row>
    <row r="95" spans="1:13" s="38" customFormat="1" ht="20.100000000000001" customHeight="1" x14ac:dyDescent="0.15">
      <c r="A95" s="6"/>
      <c r="B95" s="129"/>
      <c r="C95" s="81" t="s">
        <v>122</v>
      </c>
      <c r="D95" s="6" t="s">
        <v>22</v>
      </c>
      <c r="E95" s="27" t="s">
        <v>109</v>
      </c>
      <c r="F95" s="63"/>
      <c r="G95" s="63"/>
      <c r="H95" s="8" t="s">
        <v>107</v>
      </c>
      <c r="I95" s="41">
        <v>2</v>
      </c>
      <c r="J95" s="41">
        <v>2</v>
      </c>
      <c r="K95" s="41"/>
    </row>
    <row r="96" spans="1:13" s="38" customFormat="1" ht="20.100000000000001" customHeight="1" x14ac:dyDescent="0.15">
      <c r="A96" s="6"/>
      <c r="B96" s="129"/>
      <c r="C96" s="81" t="s">
        <v>123</v>
      </c>
      <c r="D96" s="6" t="s">
        <v>124</v>
      </c>
      <c r="E96" s="27" t="s">
        <v>109</v>
      </c>
      <c r="F96" s="63"/>
      <c r="G96" s="63"/>
      <c r="H96" s="8" t="s">
        <v>107</v>
      </c>
      <c r="I96" s="41">
        <v>1</v>
      </c>
      <c r="J96" s="41">
        <v>1</v>
      </c>
      <c r="K96" s="41"/>
    </row>
    <row r="97" spans="1:11" s="38" customFormat="1" ht="20.100000000000001" customHeight="1" x14ac:dyDescent="0.15">
      <c r="A97" s="6"/>
      <c r="B97" s="129"/>
      <c r="C97" s="81" t="s">
        <v>125</v>
      </c>
      <c r="D97" s="6" t="s">
        <v>56</v>
      </c>
      <c r="E97" s="27" t="s">
        <v>115</v>
      </c>
      <c r="F97" s="63"/>
      <c r="G97" s="63"/>
      <c r="H97" s="8" t="s">
        <v>107</v>
      </c>
      <c r="I97" s="41">
        <v>1</v>
      </c>
      <c r="J97" s="41">
        <v>1</v>
      </c>
      <c r="K97" s="41" t="s">
        <v>134</v>
      </c>
    </row>
    <row r="98" spans="1:11" s="38" customFormat="1" ht="20.100000000000001" customHeight="1" x14ac:dyDescent="0.15">
      <c r="A98" s="6"/>
      <c r="B98" s="129"/>
      <c r="C98" s="81" t="s">
        <v>126</v>
      </c>
      <c r="D98" s="6" t="s">
        <v>127</v>
      </c>
      <c r="E98" s="27" t="s">
        <v>82</v>
      </c>
      <c r="F98" s="63"/>
      <c r="G98" s="63"/>
      <c r="H98" s="8" t="s">
        <v>107</v>
      </c>
      <c r="I98" s="41">
        <v>1</v>
      </c>
      <c r="J98" s="41">
        <v>1</v>
      </c>
      <c r="K98" s="41"/>
    </row>
    <row r="99" spans="1:11" s="38" customFormat="1" ht="20.100000000000001" customHeight="1" x14ac:dyDescent="0.15">
      <c r="A99" s="6"/>
      <c r="B99" s="129"/>
      <c r="C99" s="81" t="s">
        <v>128</v>
      </c>
      <c r="D99" s="6" t="s">
        <v>129</v>
      </c>
      <c r="E99" s="27" t="s">
        <v>130</v>
      </c>
      <c r="F99" s="63"/>
      <c r="G99" s="63"/>
      <c r="H99" s="8" t="s">
        <v>107</v>
      </c>
      <c r="I99" s="41">
        <v>4</v>
      </c>
      <c r="J99" s="41">
        <v>4</v>
      </c>
      <c r="K99" s="41"/>
    </row>
    <row r="100" spans="1:11" s="38" customFormat="1" ht="20.100000000000001" customHeight="1" x14ac:dyDescent="0.15">
      <c r="A100" s="6"/>
      <c r="B100" s="129"/>
      <c r="C100" s="81" t="s">
        <v>131</v>
      </c>
      <c r="D100" s="6" t="s">
        <v>132</v>
      </c>
      <c r="E100" s="27" t="s">
        <v>133</v>
      </c>
      <c r="F100" s="63"/>
      <c r="G100" s="63"/>
      <c r="H100" s="8" t="s">
        <v>107</v>
      </c>
      <c r="I100" s="41">
        <v>2</v>
      </c>
      <c r="J100" s="41">
        <v>2</v>
      </c>
      <c r="K100" s="41"/>
    </row>
    <row r="101" spans="1:11" s="35" customFormat="1" ht="20.100000000000001" customHeight="1" x14ac:dyDescent="0.15">
      <c r="A101" s="5">
        <v>48</v>
      </c>
      <c r="B101" s="31"/>
      <c r="C101" s="18">
        <v>101005002349</v>
      </c>
      <c r="D101" s="26" t="s">
        <v>135</v>
      </c>
      <c r="E101" s="20" t="s">
        <v>48</v>
      </c>
      <c r="F101" s="21"/>
      <c r="G101" s="21"/>
      <c r="H101" s="26" t="s">
        <v>48</v>
      </c>
      <c r="I101" s="21">
        <v>1</v>
      </c>
      <c r="J101" s="19">
        <v>1</v>
      </c>
      <c r="K101" s="28">
        <v>250328</v>
      </c>
    </row>
    <row r="102" spans="1:11" s="38" customFormat="1" ht="20.100000000000001" customHeight="1" x14ac:dyDescent="0.15">
      <c r="A102" s="6">
        <v>48.1</v>
      </c>
      <c r="B102" s="129"/>
      <c r="C102" s="23">
        <v>101005002381</v>
      </c>
      <c r="D102" s="8" t="s">
        <v>136</v>
      </c>
      <c r="E102" s="25" t="s">
        <v>48</v>
      </c>
      <c r="F102" s="224"/>
      <c r="G102" s="224"/>
      <c r="H102" s="8" t="s">
        <v>48</v>
      </c>
      <c r="I102" s="25">
        <v>1</v>
      </c>
      <c r="J102" s="25">
        <v>1</v>
      </c>
      <c r="K102" s="24"/>
    </row>
    <row r="103" spans="1:11" s="38" customFormat="1" ht="20.100000000000001" customHeight="1" x14ac:dyDescent="0.25">
      <c r="A103" s="6" t="s">
        <v>144</v>
      </c>
      <c r="B103" s="129"/>
      <c r="C103" s="23" t="s">
        <v>137</v>
      </c>
      <c r="D103" s="8" t="s">
        <v>138</v>
      </c>
      <c r="E103" s="25" t="s">
        <v>109</v>
      </c>
      <c r="F103" s="132"/>
      <c r="G103" s="132"/>
      <c r="H103" s="15" t="s">
        <v>107</v>
      </c>
      <c r="I103" s="24">
        <v>1</v>
      </c>
      <c r="J103" s="24">
        <v>1</v>
      </c>
      <c r="K103" s="9" t="s">
        <v>254</v>
      </c>
    </row>
    <row r="104" spans="1:11" s="38" customFormat="1" ht="20.100000000000001" customHeight="1" x14ac:dyDescent="0.15">
      <c r="A104" s="6" t="s">
        <v>145</v>
      </c>
      <c r="B104" s="129"/>
      <c r="C104" s="23" t="s">
        <v>139</v>
      </c>
      <c r="D104" s="8" t="s">
        <v>140</v>
      </c>
      <c r="E104" s="25" t="s">
        <v>109</v>
      </c>
      <c r="F104" s="132"/>
      <c r="G104" s="132"/>
      <c r="H104" s="15" t="s">
        <v>107</v>
      </c>
      <c r="I104" s="24">
        <v>2</v>
      </c>
      <c r="J104" s="24">
        <v>2</v>
      </c>
      <c r="K104" s="24"/>
    </row>
    <row r="105" spans="1:11" s="38" customFormat="1" ht="20.100000000000001" customHeight="1" x14ac:dyDescent="0.15">
      <c r="A105" s="6">
        <v>48.2</v>
      </c>
      <c r="B105" s="129"/>
      <c r="C105" s="23">
        <v>101005000634</v>
      </c>
      <c r="D105" s="8" t="s">
        <v>141</v>
      </c>
      <c r="E105" s="224" t="s">
        <v>105</v>
      </c>
      <c r="F105" s="225"/>
      <c r="G105" s="225"/>
      <c r="H105" s="15" t="s">
        <v>107</v>
      </c>
      <c r="I105" s="25">
        <v>1</v>
      </c>
      <c r="J105" s="25">
        <v>1</v>
      </c>
      <c r="K105" s="24"/>
    </row>
    <row r="106" spans="1:11" s="38" customFormat="1" ht="20.100000000000001" customHeight="1" x14ac:dyDescent="0.15">
      <c r="A106" s="6">
        <v>48.3</v>
      </c>
      <c r="B106" s="129"/>
      <c r="C106" s="23">
        <v>101005000638</v>
      </c>
      <c r="D106" s="8" t="s">
        <v>142</v>
      </c>
      <c r="E106" s="25" t="s">
        <v>105</v>
      </c>
      <c r="F106" s="225"/>
      <c r="G106" s="225"/>
      <c r="H106" s="15" t="s">
        <v>107</v>
      </c>
      <c r="I106" s="25">
        <v>2</v>
      </c>
      <c r="J106" s="25">
        <v>2</v>
      </c>
      <c r="K106" s="24"/>
    </row>
    <row r="107" spans="1:11" s="38" customFormat="1" ht="20.100000000000001" customHeight="1" x14ac:dyDescent="0.15">
      <c r="A107" s="6">
        <v>48.4</v>
      </c>
      <c r="B107" s="129"/>
      <c r="C107" s="23">
        <v>101005000651</v>
      </c>
      <c r="D107" s="8" t="s">
        <v>72</v>
      </c>
      <c r="E107" s="25" t="s">
        <v>115</v>
      </c>
      <c r="F107" s="132"/>
      <c r="G107" s="132"/>
      <c r="H107" s="15" t="s">
        <v>107</v>
      </c>
      <c r="I107" s="24">
        <v>2</v>
      </c>
      <c r="J107" s="24">
        <v>2</v>
      </c>
      <c r="K107" s="24"/>
    </row>
    <row r="108" spans="1:11" s="38" customFormat="1" ht="20.100000000000001" customHeight="1" x14ac:dyDescent="0.15">
      <c r="A108" s="6">
        <v>48.5</v>
      </c>
      <c r="B108" s="129"/>
      <c r="C108" s="23">
        <v>101005002350</v>
      </c>
      <c r="D108" s="8" t="s">
        <v>69</v>
      </c>
      <c r="E108" s="25" t="s">
        <v>105</v>
      </c>
      <c r="F108" s="132"/>
      <c r="G108" s="132"/>
      <c r="H108" s="15" t="s">
        <v>107</v>
      </c>
      <c r="I108" s="24">
        <v>2</v>
      </c>
      <c r="J108" s="24">
        <v>2</v>
      </c>
      <c r="K108" s="24"/>
    </row>
    <row r="109" spans="1:11" s="38" customFormat="1" ht="20.100000000000001" customHeight="1" x14ac:dyDescent="0.15">
      <c r="A109" s="6">
        <v>48.6</v>
      </c>
      <c r="B109" s="129"/>
      <c r="C109" s="23">
        <v>101005002352</v>
      </c>
      <c r="D109" s="8" t="s">
        <v>69</v>
      </c>
      <c r="E109" s="25" t="s">
        <v>105</v>
      </c>
      <c r="F109" s="132"/>
      <c r="G109" s="132"/>
      <c r="H109" s="15" t="s">
        <v>107</v>
      </c>
      <c r="I109" s="24">
        <v>2</v>
      </c>
      <c r="J109" s="24">
        <v>2</v>
      </c>
      <c r="K109" s="24"/>
    </row>
    <row r="110" spans="1:11" s="38" customFormat="1" ht="20.100000000000001" customHeight="1" x14ac:dyDescent="0.15">
      <c r="A110" s="6">
        <v>48.7</v>
      </c>
      <c r="B110" s="129"/>
      <c r="C110" s="23">
        <v>101005002354</v>
      </c>
      <c r="D110" s="8" t="s">
        <v>69</v>
      </c>
      <c r="E110" s="25" t="s">
        <v>105</v>
      </c>
      <c r="F110" s="132"/>
      <c r="G110" s="132"/>
      <c r="H110" s="15" t="s">
        <v>107</v>
      </c>
      <c r="I110" s="24">
        <v>2</v>
      </c>
      <c r="J110" s="24">
        <v>2</v>
      </c>
      <c r="K110" s="24"/>
    </row>
    <row r="111" spans="1:11" s="38" customFormat="1" ht="20.100000000000001" customHeight="1" x14ac:dyDescent="0.15">
      <c r="A111" s="6">
        <v>48.8</v>
      </c>
      <c r="B111" s="129"/>
      <c r="C111" s="23">
        <v>101005002356</v>
      </c>
      <c r="D111" s="8" t="s">
        <v>69</v>
      </c>
      <c r="E111" s="25" t="s">
        <v>105</v>
      </c>
      <c r="F111" s="225"/>
      <c r="G111" s="225"/>
      <c r="H111" s="15" t="s">
        <v>107</v>
      </c>
      <c r="I111" s="25">
        <v>2</v>
      </c>
      <c r="J111" s="25">
        <v>2</v>
      </c>
      <c r="K111" s="24"/>
    </row>
    <row r="112" spans="1:11" s="38" customFormat="1" ht="20.100000000000001" customHeight="1" x14ac:dyDescent="0.15">
      <c r="A112" s="6">
        <v>48.9</v>
      </c>
      <c r="B112" s="129"/>
      <c r="C112" s="23">
        <v>101005002358</v>
      </c>
      <c r="D112" s="8" t="s">
        <v>69</v>
      </c>
      <c r="E112" s="25" t="s">
        <v>105</v>
      </c>
      <c r="F112" s="132"/>
      <c r="G112" s="132"/>
      <c r="H112" s="15" t="s">
        <v>107</v>
      </c>
      <c r="I112" s="24">
        <v>2</v>
      </c>
      <c r="J112" s="24">
        <v>2</v>
      </c>
      <c r="K112" s="24"/>
    </row>
    <row r="113" spans="1:13" s="38" customFormat="1" ht="20.100000000000001" customHeight="1" x14ac:dyDescent="0.15">
      <c r="A113" s="13">
        <v>48.1</v>
      </c>
      <c r="B113" s="129"/>
      <c r="C113" s="23">
        <v>101005002360</v>
      </c>
      <c r="D113" s="8" t="s">
        <v>69</v>
      </c>
      <c r="E113" s="25" t="s">
        <v>105</v>
      </c>
      <c r="F113" s="132"/>
      <c r="G113" s="132"/>
      <c r="H113" s="15" t="s">
        <v>107</v>
      </c>
      <c r="I113" s="24">
        <v>2</v>
      </c>
      <c r="J113" s="24">
        <v>2</v>
      </c>
      <c r="K113" s="24"/>
    </row>
    <row r="114" spans="1:13" s="38" customFormat="1" ht="20.100000000000001" customHeight="1" x14ac:dyDescent="0.15">
      <c r="A114" s="6">
        <v>48.11</v>
      </c>
      <c r="B114" s="129"/>
      <c r="C114" s="23">
        <v>101005002362</v>
      </c>
      <c r="D114" s="8" t="s">
        <v>69</v>
      </c>
      <c r="E114" s="224" t="s">
        <v>105</v>
      </c>
      <c r="F114" s="225"/>
      <c r="G114" s="225"/>
      <c r="H114" s="15" t="s">
        <v>107</v>
      </c>
      <c r="I114" s="25">
        <v>2</v>
      </c>
      <c r="J114" s="25">
        <v>2</v>
      </c>
      <c r="K114" s="24"/>
    </row>
    <row r="115" spans="1:13" s="38" customFormat="1" ht="20.100000000000001" customHeight="1" x14ac:dyDescent="0.15">
      <c r="A115" s="13">
        <v>48.12</v>
      </c>
      <c r="B115" s="129"/>
      <c r="C115" s="23">
        <v>101005002364</v>
      </c>
      <c r="D115" s="8" t="s">
        <v>69</v>
      </c>
      <c r="E115" s="25" t="s">
        <v>105</v>
      </c>
      <c r="F115" s="132"/>
      <c r="G115" s="132"/>
      <c r="H115" s="15" t="s">
        <v>107</v>
      </c>
      <c r="I115" s="24">
        <v>2</v>
      </c>
      <c r="J115" s="24">
        <v>2</v>
      </c>
      <c r="K115" s="24"/>
    </row>
    <row r="116" spans="1:13" s="38" customFormat="1" ht="20.100000000000001" customHeight="1" x14ac:dyDescent="0.15">
      <c r="A116" s="6">
        <v>48.13</v>
      </c>
      <c r="B116" s="129"/>
      <c r="C116" s="23">
        <v>101005002366</v>
      </c>
      <c r="D116" s="8" t="s">
        <v>69</v>
      </c>
      <c r="E116" s="25" t="s">
        <v>105</v>
      </c>
      <c r="F116" s="132"/>
      <c r="G116" s="132"/>
      <c r="H116" s="15" t="s">
        <v>107</v>
      </c>
      <c r="I116" s="25">
        <v>2</v>
      </c>
      <c r="J116" s="25">
        <v>2</v>
      </c>
      <c r="K116" s="24"/>
    </row>
    <row r="117" spans="1:13" s="38" customFormat="1" ht="20.100000000000001" customHeight="1" x14ac:dyDescent="0.15">
      <c r="A117" s="13">
        <v>48.14</v>
      </c>
      <c r="B117" s="129"/>
      <c r="C117" s="23">
        <v>101005002368</v>
      </c>
      <c r="D117" s="8" t="s">
        <v>69</v>
      </c>
      <c r="E117" s="224" t="s">
        <v>105</v>
      </c>
      <c r="F117" s="225"/>
      <c r="G117" s="225"/>
      <c r="H117" s="15" t="s">
        <v>107</v>
      </c>
      <c r="I117" s="25">
        <v>2</v>
      </c>
      <c r="J117" s="25">
        <v>2</v>
      </c>
      <c r="K117" s="24"/>
    </row>
    <row r="118" spans="1:13" s="38" customFormat="1" ht="20.100000000000001" customHeight="1" x14ac:dyDescent="0.15">
      <c r="A118" s="6">
        <v>48.15</v>
      </c>
      <c r="B118" s="129"/>
      <c r="C118" s="23">
        <v>101005002370</v>
      </c>
      <c r="D118" s="8" t="s">
        <v>69</v>
      </c>
      <c r="E118" s="25" t="s">
        <v>70</v>
      </c>
      <c r="F118" s="132"/>
      <c r="G118" s="132"/>
      <c r="H118" s="15" t="s">
        <v>107</v>
      </c>
      <c r="I118" s="24">
        <v>9</v>
      </c>
      <c r="J118" s="24">
        <v>9</v>
      </c>
      <c r="K118" s="24"/>
    </row>
    <row r="119" spans="1:13" s="38" customFormat="1" ht="20.100000000000001" customHeight="1" x14ac:dyDescent="0.15">
      <c r="A119" s="13">
        <v>48.16</v>
      </c>
      <c r="B119" s="129"/>
      <c r="C119" s="23">
        <v>101005002371</v>
      </c>
      <c r="D119" s="8" t="s">
        <v>69</v>
      </c>
      <c r="E119" s="25" t="s">
        <v>70</v>
      </c>
      <c r="F119" s="132"/>
      <c r="G119" s="132"/>
      <c r="H119" s="15" t="s">
        <v>107</v>
      </c>
      <c r="I119" s="24">
        <v>10</v>
      </c>
      <c r="J119" s="24">
        <v>10</v>
      </c>
      <c r="K119" s="24"/>
    </row>
    <row r="120" spans="1:13" s="171" customFormat="1" ht="20.100000000000001" customHeight="1" x14ac:dyDescent="0.15">
      <c r="A120" s="174">
        <v>48.17</v>
      </c>
      <c r="B120" s="175"/>
      <c r="C120" s="176">
        <v>101005002372</v>
      </c>
      <c r="D120" s="166" t="s">
        <v>49</v>
      </c>
      <c r="E120" s="177" t="s">
        <v>50</v>
      </c>
      <c r="F120" s="25"/>
      <c r="G120" s="25"/>
      <c r="H120" s="168" t="s">
        <v>107</v>
      </c>
      <c r="I120" s="178">
        <v>6</v>
      </c>
      <c r="J120" s="178">
        <v>6</v>
      </c>
      <c r="K120" s="167" t="s">
        <v>143</v>
      </c>
      <c r="L120" s="170" t="s">
        <v>276</v>
      </c>
      <c r="M120" s="170">
        <v>7.44</v>
      </c>
    </row>
    <row r="121" spans="1:13" s="38" customFormat="1" ht="20.100000000000001" customHeight="1" x14ac:dyDescent="0.15">
      <c r="A121" s="13">
        <v>48.18</v>
      </c>
      <c r="B121" s="129"/>
      <c r="C121" s="23">
        <v>101005002380</v>
      </c>
      <c r="D121" s="8" t="s">
        <v>69</v>
      </c>
      <c r="E121" s="25" t="s">
        <v>70</v>
      </c>
      <c r="F121" s="132"/>
      <c r="G121" s="132"/>
      <c r="H121" s="15" t="s">
        <v>107</v>
      </c>
      <c r="I121" s="24">
        <v>1</v>
      </c>
      <c r="J121" s="24">
        <v>1</v>
      </c>
      <c r="K121" s="24"/>
    </row>
    <row r="122" spans="1:13" s="32" customFormat="1" ht="20.100000000000001" customHeight="1" x14ac:dyDescent="0.15">
      <c r="A122" s="110">
        <v>62</v>
      </c>
      <c r="B122" s="31">
        <v>1303000021818</v>
      </c>
      <c r="C122" s="31">
        <v>101004007722</v>
      </c>
      <c r="D122" s="5" t="s">
        <v>11</v>
      </c>
      <c r="E122" s="19" t="s">
        <v>109</v>
      </c>
      <c r="F122" s="64"/>
      <c r="G122" s="64"/>
      <c r="H122" s="5" t="s">
        <v>146</v>
      </c>
      <c r="I122" s="19">
        <v>1</v>
      </c>
      <c r="J122" s="79">
        <v>2</v>
      </c>
      <c r="K122" s="42">
        <v>250126</v>
      </c>
    </row>
    <row r="123" spans="1:13" s="35" customFormat="1" ht="20.100000000000001" customHeight="1" x14ac:dyDescent="0.15">
      <c r="A123" s="110">
        <v>85</v>
      </c>
      <c r="B123" s="31">
        <v>1303000019378</v>
      </c>
      <c r="C123" s="31">
        <v>101002007592</v>
      </c>
      <c r="D123" s="16" t="s">
        <v>147</v>
      </c>
      <c r="E123" s="33" t="s">
        <v>148</v>
      </c>
      <c r="F123" s="57"/>
      <c r="G123" s="57"/>
      <c r="H123" s="5" t="s">
        <v>162</v>
      </c>
      <c r="I123" s="19">
        <v>1</v>
      </c>
      <c r="J123" s="82">
        <v>2</v>
      </c>
      <c r="K123" s="77">
        <v>250221</v>
      </c>
    </row>
    <row r="124" spans="1:13" s="38" customFormat="1" ht="20.100000000000001" customHeight="1" x14ac:dyDescent="0.15">
      <c r="A124" s="5">
        <v>86</v>
      </c>
      <c r="B124" s="129"/>
      <c r="C124" s="37" t="s">
        <v>149</v>
      </c>
      <c r="D124" s="16" t="s">
        <v>22</v>
      </c>
      <c r="E124" s="33" t="s">
        <v>48</v>
      </c>
      <c r="F124" s="36"/>
      <c r="G124" s="36"/>
      <c r="H124" s="16" t="s">
        <v>48</v>
      </c>
      <c r="I124" s="19">
        <v>1</v>
      </c>
      <c r="J124" s="19">
        <v>2</v>
      </c>
      <c r="K124" s="19">
        <v>250403</v>
      </c>
    </row>
    <row r="125" spans="1:13" s="38" customFormat="1" ht="20.100000000000001" customHeight="1" x14ac:dyDescent="0.15">
      <c r="A125" s="6"/>
      <c r="B125" s="129"/>
      <c r="C125" s="39" t="s">
        <v>150</v>
      </c>
      <c r="D125" s="69" t="s">
        <v>22</v>
      </c>
      <c r="E125" s="40" t="s">
        <v>71</v>
      </c>
      <c r="F125" s="115"/>
      <c r="G125" s="115"/>
      <c r="H125" s="69" t="s">
        <v>83</v>
      </c>
      <c r="I125" s="41">
        <v>1</v>
      </c>
      <c r="J125" s="24">
        <f>I125*2</f>
        <v>2</v>
      </c>
      <c r="K125" s="41"/>
    </row>
    <row r="126" spans="1:13" s="38" customFormat="1" ht="20.100000000000001" customHeight="1" x14ac:dyDescent="0.15">
      <c r="A126" s="6"/>
      <c r="B126" s="129"/>
      <c r="C126" s="39" t="s">
        <v>151</v>
      </c>
      <c r="D126" s="69" t="s">
        <v>11</v>
      </c>
      <c r="E126" s="40" t="s">
        <v>152</v>
      </c>
      <c r="F126" s="115"/>
      <c r="G126" s="115"/>
      <c r="H126" s="69" t="s">
        <v>83</v>
      </c>
      <c r="I126" s="41">
        <v>2</v>
      </c>
      <c r="J126" s="24">
        <f t="shared" ref="J126:J127" si="0">I126*2</f>
        <v>4</v>
      </c>
      <c r="K126" s="41"/>
    </row>
    <row r="127" spans="1:13" s="38" customFormat="1" ht="20.100000000000001" customHeight="1" x14ac:dyDescent="0.15">
      <c r="A127" s="6"/>
      <c r="B127" s="129"/>
      <c r="C127" s="39" t="s">
        <v>153</v>
      </c>
      <c r="D127" s="69" t="s">
        <v>11</v>
      </c>
      <c r="E127" s="40" t="s">
        <v>82</v>
      </c>
      <c r="F127" s="115"/>
      <c r="G127" s="115"/>
      <c r="H127" s="69" t="s">
        <v>83</v>
      </c>
      <c r="I127" s="41">
        <v>4</v>
      </c>
      <c r="J127" s="24">
        <f t="shared" si="0"/>
        <v>8</v>
      </c>
      <c r="K127" s="41"/>
    </row>
    <row r="128" spans="1:13" s="32" customFormat="1" ht="20.100000000000001" customHeight="1" x14ac:dyDescent="0.15">
      <c r="A128" s="110">
        <v>93</v>
      </c>
      <c r="B128" s="50"/>
      <c r="C128" s="43">
        <v>101002012230</v>
      </c>
      <c r="D128" s="5" t="s">
        <v>23</v>
      </c>
      <c r="E128" s="33" t="s">
        <v>82</v>
      </c>
      <c r="F128" s="64"/>
      <c r="G128" s="64"/>
      <c r="H128" s="16" t="s">
        <v>83</v>
      </c>
      <c r="I128" s="45">
        <v>1</v>
      </c>
      <c r="J128" s="83">
        <v>2</v>
      </c>
      <c r="K128" s="77">
        <v>250221</v>
      </c>
    </row>
    <row r="129" spans="1:13" s="32" customFormat="1" ht="20.100000000000001" customHeight="1" x14ac:dyDescent="0.15">
      <c r="A129" s="110">
        <v>94</v>
      </c>
      <c r="B129" s="50"/>
      <c r="C129" s="43">
        <v>101002012234</v>
      </c>
      <c r="D129" s="5" t="s">
        <v>24</v>
      </c>
      <c r="E129" s="33" t="s">
        <v>82</v>
      </c>
      <c r="F129" s="64"/>
      <c r="G129" s="64"/>
      <c r="H129" s="16" t="s">
        <v>83</v>
      </c>
      <c r="I129" s="45">
        <v>1</v>
      </c>
      <c r="J129" s="83">
        <v>2</v>
      </c>
      <c r="K129" s="77">
        <v>250221</v>
      </c>
    </row>
    <row r="130" spans="1:13" s="35" customFormat="1" ht="20.100000000000001" customHeight="1" x14ac:dyDescent="0.15">
      <c r="A130" s="5">
        <v>95</v>
      </c>
      <c r="B130" s="31"/>
      <c r="C130" s="43">
        <v>101002012233</v>
      </c>
      <c r="D130" s="5" t="s">
        <v>25</v>
      </c>
      <c r="E130" s="33" t="s">
        <v>48</v>
      </c>
      <c r="F130" s="34"/>
      <c r="G130" s="34"/>
      <c r="H130" s="16" t="s">
        <v>48</v>
      </c>
      <c r="I130" s="45">
        <v>1</v>
      </c>
      <c r="J130" s="19">
        <v>2</v>
      </c>
      <c r="K130" s="19">
        <v>250221</v>
      </c>
    </row>
    <row r="131" spans="1:13" s="38" customFormat="1" ht="20.100000000000001" customHeight="1" x14ac:dyDescent="0.15">
      <c r="A131" s="6"/>
      <c r="B131" s="31"/>
      <c r="C131" s="46">
        <v>101002012231</v>
      </c>
      <c r="D131" s="9" t="s">
        <v>154</v>
      </c>
      <c r="E131" s="40" t="s">
        <v>115</v>
      </c>
      <c r="F131" s="115"/>
      <c r="G131" s="115"/>
      <c r="H131" s="69" t="s">
        <v>83</v>
      </c>
      <c r="I131" s="48">
        <v>1</v>
      </c>
      <c r="J131" s="24">
        <f t="shared" ref="J131" si="1">I131*2</f>
        <v>2</v>
      </c>
      <c r="K131" s="41"/>
    </row>
    <row r="132" spans="1:13" s="171" customFormat="1" ht="20.100000000000001" customHeight="1" x14ac:dyDescent="0.25">
      <c r="A132" s="174"/>
      <c r="B132" s="179">
        <v>1303000014031</v>
      </c>
      <c r="C132" s="180">
        <v>101002012232</v>
      </c>
      <c r="D132" s="167" t="s">
        <v>155</v>
      </c>
      <c r="E132" s="181" t="s">
        <v>50</v>
      </c>
      <c r="F132" s="36"/>
      <c r="G132" s="36"/>
      <c r="H132" s="182" t="s">
        <v>83</v>
      </c>
      <c r="I132" s="183">
        <v>3</v>
      </c>
      <c r="J132" s="178">
        <v>12</v>
      </c>
      <c r="K132" s="174" t="s">
        <v>258</v>
      </c>
      <c r="L132" s="170" t="s">
        <v>277</v>
      </c>
      <c r="M132" s="170">
        <v>0.74399999999999999</v>
      </c>
    </row>
    <row r="133" spans="1:13" s="85" customFormat="1" ht="20.100000000000001" customHeight="1" x14ac:dyDescent="0.15">
      <c r="A133" s="5">
        <v>96</v>
      </c>
      <c r="B133" s="31"/>
      <c r="C133" s="43">
        <v>101002012236</v>
      </c>
      <c r="D133" s="5" t="s">
        <v>26</v>
      </c>
      <c r="E133" s="33" t="s">
        <v>157</v>
      </c>
      <c r="F133" s="84"/>
      <c r="G133" s="84"/>
      <c r="H133" s="16" t="s">
        <v>157</v>
      </c>
      <c r="I133" s="45">
        <v>1</v>
      </c>
      <c r="J133" s="45">
        <v>2</v>
      </c>
      <c r="K133" s="19">
        <v>250221</v>
      </c>
      <c r="L133" s="29"/>
    </row>
    <row r="134" spans="1:13" s="85" customFormat="1" ht="20.100000000000001" customHeight="1" x14ac:dyDescent="0.15">
      <c r="A134" s="6"/>
      <c r="B134" s="31"/>
      <c r="C134" s="46">
        <v>101002012235</v>
      </c>
      <c r="D134" s="9" t="s">
        <v>158</v>
      </c>
      <c r="E134" s="40" t="s">
        <v>115</v>
      </c>
      <c r="F134" s="140"/>
      <c r="G134" s="140"/>
      <c r="H134" s="69" t="s">
        <v>83</v>
      </c>
      <c r="I134" s="48">
        <v>1</v>
      </c>
      <c r="J134" s="24">
        <f t="shared" ref="J134" si="2">I134*2</f>
        <v>2</v>
      </c>
      <c r="K134" s="41"/>
      <c r="L134" s="30"/>
    </row>
    <row r="135" spans="1:13" s="146" customFormat="1" ht="20.100000000000001" customHeight="1" x14ac:dyDescent="0.15">
      <c r="A135" s="133"/>
      <c r="B135" s="141">
        <v>1303000014031</v>
      </c>
      <c r="C135" s="142">
        <v>101002012232</v>
      </c>
      <c r="D135" s="67" t="s">
        <v>155</v>
      </c>
      <c r="E135" s="143" t="s">
        <v>50</v>
      </c>
      <c r="F135" s="144"/>
      <c r="G135" s="144"/>
      <c r="H135" s="68" t="s">
        <v>83</v>
      </c>
      <c r="I135" s="145">
        <v>3</v>
      </c>
      <c r="J135" s="66"/>
      <c r="K135" s="137" t="s">
        <v>156</v>
      </c>
      <c r="L135" s="162"/>
      <c r="M135" s="160"/>
    </row>
    <row r="136" spans="1:13" s="35" customFormat="1" ht="20.100000000000001" customHeight="1" x14ac:dyDescent="0.15">
      <c r="A136" s="110">
        <v>97</v>
      </c>
      <c r="B136" s="31"/>
      <c r="C136" s="86" t="s">
        <v>159</v>
      </c>
      <c r="D136" s="17" t="s">
        <v>160</v>
      </c>
      <c r="E136" s="58" t="s">
        <v>161</v>
      </c>
      <c r="F136" s="57"/>
      <c r="G136" s="57"/>
      <c r="H136" s="5" t="s">
        <v>83</v>
      </c>
      <c r="I136" s="58">
        <v>1</v>
      </c>
      <c r="J136" s="83">
        <v>52</v>
      </c>
      <c r="K136" s="77">
        <v>250428</v>
      </c>
    </row>
    <row r="137" spans="1:13" s="32" customFormat="1" ht="20.100000000000001" customHeight="1" x14ac:dyDescent="0.15">
      <c r="A137" s="110">
        <v>98</v>
      </c>
      <c r="B137" s="50">
        <v>1303000012254</v>
      </c>
      <c r="C137" s="43">
        <v>101002007116</v>
      </c>
      <c r="D137" s="5" t="s">
        <v>11</v>
      </c>
      <c r="E137" s="19" t="s">
        <v>105</v>
      </c>
      <c r="F137" s="64"/>
      <c r="G137" s="64"/>
      <c r="H137" s="5" t="s">
        <v>162</v>
      </c>
      <c r="I137" s="19">
        <v>1</v>
      </c>
      <c r="J137" s="83">
        <v>2</v>
      </c>
      <c r="K137" s="77">
        <v>250221</v>
      </c>
    </row>
    <row r="138" spans="1:13" s="35" customFormat="1" ht="20.100000000000001" customHeight="1" x14ac:dyDescent="0.15">
      <c r="A138" s="110">
        <v>99</v>
      </c>
      <c r="B138" s="50"/>
      <c r="C138" s="91" t="s">
        <v>163</v>
      </c>
      <c r="D138" s="5" t="s">
        <v>11</v>
      </c>
      <c r="E138" s="19" t="s">
        <v>71</v>
      </c>
      <c r="F138" s="57"/>
      <c r="G138" s="57"/>
      <c r="H138" s="5" t="s">
        <v>107</v>
      </c>
      <c r="I138" s="19">
        <v>1</v>
      </c>
      <c r="J138" s="83">
        <v>2</v>
      </c>
      <c r="K138" s="77">
        <v>250403</v>
      </c>
    </row>
    <row r="139" spans="1:13" s="35" customFormat="1" ht="20.100000000000001" customHeight="1" x14ac:dyDescent="0.15">
      <c r="A139" s="110">
        <v>100</v>
      </c>
      <c r="B139" s="50"/>
      <c r="C139" s="91" t="s">
        <v>164</v>
      </c>
      <c r="D139" s="5" t="s">
        <v>11</v>
      </c>
      <c r="E139" s="19" t="s">
        <v>71</v>
      </c>
      <c r="F139" s="64"/>
      <c r="G139" s="64"/>
      <c r="H139" s="5" t="s">
        <v>107</v>
      </c>
      <c r="I139" s="19">
        <v>1</v>
      </c>
      <c r="J139" s="83">
        <v>4</v>
      </c>
      <c r="K139" s="77">
        <v>250428</v>
      </c>
    </row>
    <row r="140" spans="1:13" s="85" customFormat="1" ht="20.100000000000001" customHeight="1" x14ac:dyDescent="0.15">
      <c r="A140" s="5">
        <v>101</v>
      </c>
      <c r="B140" s="31">
        <v>1303000019126</v>
      </c>
      <c r="C140" s="43">
        <v>101002009539</v>
      </c>
      <c r="D140" s="5" t="s">
        <v>21</v>
      </c>
      <c r="E140" s="33" t="s">
        <v>157</v>
      </c>
      <c r="F140" s="84"/>
      <c r="G140" s="84"/>
      <c r="H140" s="16" t="s">
        <v>157</v>
      </c>
      <c r="I140" s="45">
        <v>1</v>
      </c>
      <c r="J140" s="45">
        <v>2</v>
      </c>
      <c r="K140" s="19">
        <v>250221</v>
      </c>
      <c r="L140" s="29"/>
    </row>
    <row r="141" spans="1:13" s="85" customFormat="1" ht="20.100000000000001" customHeight="1" x14ac:dyDescent="0.15">
      <c r="A141" s="9"/>
      <c r="B141" s="49">
        <v>1303000019127</v>
      </c>
      <c r="C141" s="46">
        <v>101002007514</v>
      </c>
      <c r="D141" s="9" t="s">
        <v>22</v>
      </c>
      <c r="E141" s="51" t="s">
        <v>109</v>
      </c>
      <c r="F141" s="140"/>
      <c r="G141" s="140"/>
      <c r="H141" s="14" t="s">
        <v>165</v>
      </c>
      <c r="I141" s="48">
        <v>1</v>
      </c>
      <c r="J141" s="24">
        <f t="shared" ref="J141:J176" si="3">I141*2</f>
        <v>2</v>
      </c>
      <c r="K141" s="24"/>
      <c r="L141" s="52"/>
    </row>
    <row r="142" spans="1:13" s="85" customFormat="1" ht="20.100000000000001" customHeight="1" x14ac:dyDescent="0.15">
      <c r="A142" s="9"/>
      <c r="B142" s="49">
        <v>1303000019128</v>
      </c>
      <c r="C142" s="46">
        <v>101002009540</v>
      </c>
      <c r="D142" s="9" t="s">
        <v>117</v>
      </c>
      <c r="E142" s="51" t="s">
        <v>109</v>
      </c>
      <c r="F142" s="140"/>
      <c r="G142" s="140"/>
      <c r="H142" s="14" t="s">
        <v>165</v>
      </c>
      <c r="I142" s="48">
        <v>1</v>
      </c>
      <c r="J142" s="24">
        <f t="shared" si="3"/>
        <v>2</v>
      </c>
      <c r="K142" s="24"/>
      <c r="L142" s="52"/>
    </row>
    <row r="143" spans="1:13" s="85" customFormat="1" ht="20.100000000000001" customHeight="1" x14ac:dyDescent="0.15">
      <c r="A143" s="9"/>
      <c r="B143" s="49">
        <v>1303000019129</v>
      </c>
      <c r="C143" s="46">
        <v>101002009541</v>
      </c>
      <c r="D143" s="9" t="s">
        <v>22</v>
      </c>
      <c r="E143" s="51" t="s">
        <v>109</v>
      </c>
      <c r="F143" s="140"/>
      <c r="G143" s="140"/>
      <c r="H143" s="14" t="s">
        <v>165</v>
      </c>
      <c r="I143" s="48">
        <v>1</v>
      </c>
      <c r="J143" s="24">
        <f t="shared" si="3"/>
        <v>2</v>
      </c>
      <c r="K143" s="24"/>
      <c r="L143" s="52"/>
    </row>
    <row r="144" spans="1:13" s="210" customFormat="1" ht="20.100000000000001" customHeight="1" x14ac:dyDescent="0.15">
      <c r="A144" s="204"/>
      <c r="B144" s="205">
        <v>1202020005700</v>
      </c>
      <c r="C144" s="214" t="s">
        <v>283</v>
      </c>
      <c r="D144" s="199" t="s">
        <v>250</v>
      </c>
      <c r="E144" s="200" t="s">
        <v>256</v>
      </c>
      <c r="F144" s="84"/>
      <c r="G144" s="84"/>
      <c r="H144" s="206" t="s">
        <v>110</v>
      </c>
      <c r="I144" s="207">
        <v>2</v>
      </c>
      <c r="J144" s="200">
        <f t="shared" si="3"/>
        <v>4</v>
      </c>
      <c r="K144" s="200" t="s">
        <v>166</v>
      </c>
      <c r="L144" s="208"/>
      <c r="M144" s="209"/>
    </row>
    <row r="145" spans="1:13" s="32" customFormat="1" ht="20.100000000000001" customHeight="1" x14ac:dyDescent="0.15">
      <c r="A145" s="16" t="s">
        <v>180</v>
      </c>
      <c r="B145" s="31"/>
      <c r="C145" s="55">
        <v>101002009011</v>
      </c>
      <c r="D145" s="5" t="s">
        <v>167</v>
      </c>
      <c r="E145" s="19" t="s">
        <v>157</v>
      </c>
      <c r="F145" s="19"/>
      <c r="G145" s="19"/>
      <c r="H145" s="5" t="s">
        <v>157</v>
      </c>
      <c r="I145" s="19">
        <v>1</v>
      </c>
      <c r="J145" s="19">
        <v>2</v>
      </c>
      <c r="K145" s="19">
        <v>20210806</v>
      </c>
    </row>
    <row r="146" spans="1:13" s="56" customFormat="1" ht="20.100000000000001" customHeight="1" x14ac:dyDescent="0.15">
      <c r="A146" s="14" t="s">
        <v>183</v>
      </c>
      <c r="B146" s="129"/>
      <c r="C146" s="53">
        <v>101002009027</v>
      </c>
      <c r="D146" s="9" t="s">
        <v>168</v>
      </c>
      <c r="E146" s="24" t="s">
        <v>157</v>
      </c>
      <c r="F146" s="41"/>
      <c r="G146" s="41"/>
      <c r="H146" s="9" t="s">
        <v>157</v>
      </c>
      <c r="I146" s="24">
        <v>10</v>
      </c>
      <c r="J146" s="24">
        <f t="shared" si="3"/>
        <v>20</v>
      </c>
      <c r="K146" s="41"/>
    </row>
    <row r="147" spans="1:13" s="56" customFormat="1" ht="20.100000000000001" customHeight="1" x14ac:dyDescent="0.15">
      <c r="A147" s="14"/>
      <c r="B147" s="129"/>
      <c r="C147" s="53">
        <v>101002009028</v>
      </c>
      <c r="D147" s="6" t="s">
        <v>169</v>
      </c>
      <c r="E147" s="41" t="s">
        <v>130</v>
      </c>
      <c r="F147" s="125"/>
      <c r="G147" s="125"/>
      <c r="H147" s="69" t="s">
        <v>245</v>
      </c>
      <c r="I147" s="24">
        <v>2</v>
      </c>
      <c r="J147" s="24">
        <f>I147*20</f>
        <v>40</v>
      </c>
      <c r="K147" s="41"/>
    </row>
    <row r="148" spans="1:13" s="56" customFormat="1" ht="20.100000000000001" customHeight="1" x14ac:dyDescent="0.15">
      <c r="A148" s="14" t="s">
        <v>184</v>
      </c>
      <c r="B148" s="129"/>
      <c r="C148" s="53">
        <v>101002009013</v>
      </c>
      <c r="D148" s="9" t="s">
        <v>168</v>
      </c>
      <c r="E148" s="24" t="s">
        <v>157</v>
      </c>
      <c r="F148" s="41"/>
      <c r="G148" s="41"/>
      <c r="H148" s="9" t="s">
        <v>157</v>
      </c>
      <c r="I148" s="24">
        <v>10</v>
      </c>
      <c r="J148" s="24">
        <f t="shared" si="3"/>
        <v>20</v>
      </c>
      <c r="K148" s="41"/>
    </row>
    <row r="149" spans="1:13" s="56" customFormat="1" ht="20.100000000000001" customHeight="1" x14ac:dyDescent="0.15">
      <c r="A149" s="14"/>
      <c r="B149" s="129"/>
      <c r="C149" s="53">
        <v>101002009014</v>
      </c>
      <c r="D149" s="6" t="s">
        <v>169</v>
      </c>
      <c r="E149" s="41" t="s">
        <v>130</v>
      </c>
      <c r="F149" s="125"/>
      <c r="G149" s="125"/>
      <c r="H149" s="69" t="s">
        <v>245</v>
      </c>
      <c r="I149" s="24">
        <v>2</v>
      </c>
      <c r="J149" s="24">
        <v>42</v>
      </c>
      <c r="K149" s="41" t="s">
        <v>260</v>
      </c>
    </row>
    <row r="150" spans="1:13" s="56" customFormat="1" ht="20.100000000000001" customHeight="1" x14ac:dyDescent="0.15">
      <c r="A150" s="14" t="s">
        <v>185</v>
      </c>
      <c r="B150" s="129"/>
      <c r="C150" s="53">
        <v>101002008170</v>
      </c>
      <c r="D150" s="9" t="s">
        <v>168</v>
      </c>
      <c r="E150" s="24" t="s">
        <v>157</v>
      </c>
      <c r="F150" s="41"/>
      <c r="G150" s="41"/>
      <c r="H150" s="9" t="s">
        <v>157</v>
      </c>
      <c r="I150" s="24">
        <v>1</v>
      </c>
      <c r="J150" s="24">
        <f t="shared" si="3"/>
        <v>2</v>
      </c>
      <c r="K150" s="41"/>
    </row>
    <row r="151" spans="1:13" s="56" customFormat="1" ht="20.100000000000001" customHeight="1" x14ac:dyDescent="0.15">
      <c r="A151" s="14"/>
      <c r="B151" s="129"/>
      <c r="C151" s="53">
        <v>101002008171</v>
      </c>
      <c r="D151" s="114" t="s">
        <v>169</v>
      </c>
      <c r="E151" s="24" t="s">
        <v>130</v>
      </c>
      <c r="F151" s="125"/>
      <c r="G151" s="125"/>
      <c r="H151" s="69" t="s">
        <v>83</v>
      </c>
      <c r="I151" s="24">
        <v>2</v>
      </c>
      <c r="J151" s="24">
        <f>I151*2</f>
        <v>4</v>
      </c>
      <c r="K151" s="41"/>
    </row>
    <row r="152" spans="1:13" s="56" customFormat="1" ht="20.100000000000001" customHeight="1" x14ac:dyDescent="0.15">
      <c r="A152" s="14" t="s">
        <v>186</v>
      </c>
      <c r="B152" s="129"/>
      <c r="C152" s="54" t="s">
        <v>170</v>
      </c>
      <c r="D152" s="14" t="s">
        <v>171</v>
      </c>
      <c r="E152" s="24" t="s">
        <v>172</v>
      </c>
      <c r="F152" s="125"/>
      <c r="G152" s="125"/>
      <c r="H152" s="69" t="s">
        <v>245</v>
      </c>
      <c r="I152" s="24">
        <v>2</v>
      </c>
      <c r="J152" s="24">
        <f t="shared" si="3"/>
        <v>4</v>
      </c>
      <c r="K152" s="41"/>
    </row>
    <row r="153" spans="1:13" s="56" customFormat="1" ht="20.100000000000001" customHeight="1" x14ac:dyDescent="0.15">
      <c r="A153" s="14" t="s">
        <v>187</v>
      </c>
      <c r="B153" s="129"/>
      <c r="C153" s="53">
        <v>101002009040</v>
      </c>
      <c r="D153" s="14" t="s">
        <v>171</v>
      </c>
      <c r="E153" s="41" t="s">
        <v>173</v>
      </c>
      <c r="F153" s="125"/>
      <c r="G153" s="125"/>
      <c r="H153" s="69" t="s">
        <v>245</v>
      </c>
      <c r="I153" s="24">
        <v>1</v>
      </c>
      <c r="J153" s="24">
        <f t="shared" si="3"/>
        <v>2</v>
      </c>
      <c r="K153" s="41"/>
    </row>
    <row r="154" spans="1:13" s="56" customFormat="1" ht="20.100000000000001" customHeight="1" x14ac:dyDescent="0.15">
      <c r="A154" s="14" t="s">
        <v>188</v>
      </c>
      <c r="B154" s="129"/>
      <c r="C154" s="53">
        <v>101002009041</v>
      </c>
      <c r="D154" s="14" t="s">
        <v>171</v>
      </c>
      <c r="E154" s="41" t="s">
        <v>173</v>
      </c>
      <c r="F154" s="125"/>
      <c r="G154" s="125"/>
      <c r="H154" s="69" t="s">
        <v>245</v>
      </c>
      <c r="I154" s="24">
        <v>1</v>
      </c>
      <c r="J154" s="24">
        <f t="shared" si="3"/>
        <v>2</v>
      </c>
      <c r="K154" s="41"/>
    </row>
    <row r="155" spans="1:13" s="186" customFormat="1" ht="20.100000000000001" customHeight="1" x14ac:dyDescent="0.15">
      <c r="A155" s="163" t="s">
        <v>189</v>
      </c>
      <c r="B155" s="175"/>
      <c r="C155" s="187" t="s">
        <v>174</v>
      </c>
      <c r="D155" s="174" t="s">
        <v>175</v>
      </c>
      <c r="E155" s="178" t="s">
        <v>182</v>
      </c>
      <c r="F155" s="41"/>
      <c r="G155" s="41"/>
      <c r="H155" s="182" t="s">
        <v>83</v>
      </c>
      <c r="I155" s="178">
        <v>1</v>
      </c>
      <c r="J155" s="178">
        <f t="shared" si="3"/>
        <v>2</v>
      </c>
      <c r="K155" s="178" t="s">
        <v>181</v>
      </c>
      <c r="L155" s="170" t="s">
        <v>278</v>
      </c>
      <c r="M155" s="170">
        <v>0.04</v>
      </c>
    </row>
    <row r="156" spans="1:13" s="56" customFormat="1" ht="20.100000000000001" customHeight="1" x14ac:dyDescent="0.15">
      <c r="A156" s="14" t="s">
        <v>190</v>
      </c>
      <c r="B156" s="129"/>
      <c r="C156" s="53">
        <v>101002009031</v>
      </c>
      <c r="D156" s="14" t="s">
        <v>171</v>
      </c>
      <c r="E156" s="41" t="s">
        <v>176</v>
      </c>
      <c r="F156" s="125"/>
      <c r="G156" s="125"/>
      <c r="H156" s="69" t="s">
        <v>245</v>
      </c>
      <c r="I156" s="24">
        <v>2</v>
      </c>
      <c r="J156" s="24">
        <f t="shared" si="3"/>
        <v>4</v>
      </c>
      <c r="K156" s="41"/>
    </row>
    <row r="157" spans="1:13" s="56" customFormat="1" ht="20.100000000000001" customHeight="1" x14ac:dyDescent="0.15">
      <c r="A157" s="14" t="s">
        <v>191</v>
      </c>
      <c r="B157" s="129"/>
      <c r="C157" s="53">
        <v>101002009030</v>
      </c>
      <c r="D157" s="14" t="s">
        <v>171</v>
      </c>
      <c r="E157" s="41" t="s">
        <v>177</v>
      </c>
      <c r="F157" s="125"/>
      <c r="G157" s="125"/>
      <c r="H157" s="69" t="s">
        <v>245</v>
      </c>
      <c r="I157" s="24">
        <v>8</v>
      </c>
      <c r="J157" s="24">
        <f t="shared" si="3"/>
        <v>16</v>
      </c>
      <c r="K157" s="41"/>
    </row>
    <row r="158" spans="1:13" s="56" customFormat="1" ht="20.100000000000001" customHeight="1" x14ac:dyDescent="0.15">
      <c r="A158" s="14" t="s">
        <v>192</v>
      </c>
      <c r="B158" s="129"/>
      <c r="C158" s="53">
        <v>101002008150</v>
      </c>
      <c r="D158" s="14" t="s">
        <v>171</v>
      </c>
      <c r="E158" s="24" t="s">
        <v>178</v>
      </c>
      <c r="F158" s="125"/>
      <c r="G158" s="125"/>
      <c r="H158" s="69" t="s">
        <v>245</v>
      </c>
      <c r="I158" s="24">
        <v>3</v>
      </c>
      <c r="J158" s="24">
        <f t="shared" si="3"/>
        <v>6</v>
      </c>
      <c r="K158" s="41"/>
    </row>
    <row r="159" spans="1:13" s="56" customFormat="1" ht="20.100000000000001" customHeight="1" x14ac:dyDescent="0.15">
      <c r="A159" s="14" t="s">
        <v>193</v>
      </c>
      <c r="B159" s="129"/>
      <c r="C159" s="53">
        <v>101002009023</v>
      </c>
      <c r="D159" s="6" t="s">
        <v>169</v>
      </c>
      <c r="E159" s="41" t="s">
        <v>130</v>
      </c>
      <c r="F159" s="125"/>
      <c r="G159" s="125"/>
      <c r="H159" s="69" t="s">
        <v>245</v>
      </c>
      <c r="I159" s="24">
        <v>1</v>
      </c>
      <c r="J159" s="24">
        <f t="shared" si="3"/>
        <v>2</v>
      </c>
      <c r="K159" s="41"/>
    </row>
    <row r="160" spans="1:13" s="56" customFormat="1" ht="20.100000000000001" customHeight="1" x14ac:dyDescent="0.15">
      <c r="A160" s="14" t="s">
        <v>194</v>
      </c>
      <c r="B160" s="129"/>
      <c r="C160" s="53">
        <v>101002009025</v>
      </c>
      <c r="D160" s="6" t="s">
        <v>169</v>
      </c>
      <c r="E160" s="41" t="s">
        <v>130</v>
      </c>
      <c r="F160" s="125"/>
      <c r="G160" s="125"/>
      <c r="H160" s="69" t="s">
        <v>83</v>
      </c>
      <c r="I160" s="24">
        <v>1</v>
      </c>
      <c r="J160" s="24">
        <f t="shared" si="3"/>
        <v>2</v>
      </c>
      <c r="K160" s="41"/>
    </row>
    <row r="161" spans="1:11" s="56" customFormat="1" ht="20.100000000000001" customHeight="1" x14ac:dyDescent="0.15">
      <c r="A161" s="14" t="s">
        <v>195</v>
      </c>
      <c r="B161" s="129"/>
      <c r="C161" s="53">
        <v>101002009039</v>
      </c>
      <c r="D161" s="6" t="s">
        <v>169</v>
      </c>
      <c r="E161" s="41" t="s">
        <v>130</v>
      </c>
      <c r="F161" s="125"/>
      <c r="G161" s="125"/>
      <c r="H161" s="69" t="s">
        <v>83</v>
      </c>
      <c r="I161" s="24">
        <v>1</v>
      </c>
      <c r="J161" s="24">
        <f t="shared" si="3"/>
        <v>2</v>
      </c>
      <c r="K161" s="41"/>
    </row>
    <row r="162" spans="1:11" s="56" customFormat="1" ht="20.100000000000001" customHeight="1" x14ac:dyDescent="0.15">
      <c r="A162" s="14" t="s">
        <v>196</v>
      </c>
      <c r="B162" s="129"/>
      <c r="C162" s="53">
        <v>101002009037</v>
      </c>
      <c r="D162" s="6" t="s">
        <v>169</v>
      </c>
      <c r="E162" s="41" t="s">
        <v>130</v>
      </c>
      <c r="F162" s="125"/>
      <c r="G162" s="125"/>
      <c r="H162" s="69" t="s">
        <v>245</v>
      </c>
      <c r="I162" s="24">
        <v>2</v>
      </c>
      <c r="J162" s="24">
        <f t="shared" si="3"/>
        <v>4</v>
      </c>
      <c r="K162" s="41"/>
    </row>
    <row r="163" spans="1:11" s="56" customFormat="1" ht="20.100000000000001" customHeight="1" x14ac:dyDescent="0.15">
      <c r="A163" s="14" t="s">
        <v>197</v>
      </c>
      <c r="B163" s="129"/>
      <c r="C163" s="53">
        <v>101002008160</v>
      </c>
      <c r="D163" s="6" t="s">
        <v>169</v>
      </c>
      <c r="E163" s="24" t="s">
        <v>130</v>
      </c>
      <c r="F163" s="125"/>
      <c r="G163" s="125"/>
      <c r="H163" s="69" t="s">
        <v>245</v>
      </c>
      <c r="I163" s="41">
        <v>16</v>
      </c>
      <c r="J163" s="24">
        <f t="shared" si="3"/>
        <v>32</v>
      </c>
      <c r="K163" s="41"/>
    </row>
    <row r="164" spans="1:11" s="56" customFormat="1" ht="20.100000000000001" customHeight="1" x14ac:dyDescent="0.15">
      <c r="A164" s="14" t="s">
        <v>198</v>
      </c>
      <c r="B164" s="129"/>
      <c r="C164" s="53">
        <v>101002009038</v>
      </c>
      <c r="D164" s="14" t="s">
        <v>171</v>
      </c>
      <c r="E164" s="41" t="s">
        <v>178</v>
      </c>
      <c r="F164" s="125"/>
      <c r="G164" s="125"/>
      <c r="H164" s="69" t="s">
        <v>245</v>
      </c>
      <c r="I164" s="41">
        <v>1</v>
      </c>
      <c r="J164" s="24">
        <f t="shared" si="3"/>
        <v>2</v>
      </c>
      <c r="K164" s="41"/>
    </row>
    <row r="165" spans="1:11" s="56" customFormat="1" ht="20.100000000000001" customHeight="1" x14ac:dyDescent="0.15">
      <c r="A165" s="14" t="s">
        <v>199</v>
      </c>
      <c r="B165" s="129"/>
      <c r="C165" s="53">
        <v>101002008163</v>
      </c>
      <c r="D165" s="14" t="s">
        <v>171</v>
      </c>
      <c r="E165" s="24" t="s">
        <v>178</v>
      </c>
      <c r="F165" s="125"/>
      <c r="G165" s="125"/>
      <c r="H165" s="69" t="s">
        <v>245</v>
      </c>
      <c r="I165" s="41">
        <v>1</v>
      </c>
      <c r="J165" s="24">
        <f t="shared" si="3"/>
        <v>2</v>
      </c>
      <c r="K165" s="41"/>
    </row>
    <row r="166" spans="1:11" s="56" customFormat="1" ht="20.100000000000001" customHeight="1" x14ac:dyDescent="0.15">
      <c r="A166" s="14" t="s">
        <v>200</v>
      </c>
      <c r="B166" s="129"/>
      <c r="C166" s="53">
        <v>101002009012</v>
      </c>
      <c r="D166" s="14" t="s">
        <v>167</v>
      </c>
      <c r="E166" s="41" t="s">
        <v>179</v>
      </c>
      <c r="F166" s="125"/>
      <c r="G166" s="125"/>
      <c r="H166" s="14" t="s">
        <v>268</v>
      </c>
      <c r="I166" s="41">
        <v>1</v>
      </c>
      <c r="J166" s="24">
        <f t="shared" si="3"/>
        <v>2</v>
      </c>
      <c r="K166" s="41"/>
    </row>
    <row r="167" spans="1:11" s="56" customFormat="1" ht="20.100000000000001" customHeight="1" x14ac:dyDescent="0.15">
      <c r="A167" s="14" t="s">
        <v>201</v>
      </c>
      <c r="B167" s="129"/>
      <c r="C167" s="53">
        <v>101002008207</v>
      </c>
      <c r="D167" s="6" t="s">
        <v>169</v>
      </c>
      <c r="E167" s="24" t="s">
        <v>130</v>
      </c>
      <c r="F167" s="125"/>
      <c r="G167" s="125"/>
      <c r="H167" s="69" t="s">
        <v>83</v>
      </c>
      <c r="I167" s="41">
        <v>3</v>
      </c>
      <c r="J167" s="24">
        <f t="shared" si="3"/>
        <v>6</v>
      </c>
      <c r="K167" s="41"/>
    </row>
    <row r="168" spans="1:11" s="56" customFormat="1" ht="20.100000000000001" customHeight="1" x14ac:dyDescent="0.15">
      <c r="A168" s="14" t="s">
        <v>202</v>
      </c>
      <c r="B168" s="129"/>
      <c r="C168" s="53">
        <v>101002009022</v>
      </c>
      <c r="D168" s="6" t="s">
        <v>169</v>
      </c>
      <c r="E168" s="41" t="s">
        <v>130</v>
      </c>
      <c r="F168" s="125"/>
      <c r="G168" s="125"/>
      <c r="H168" s="69" t="s">
        <v>245</v>
      </c>
      <c r="I168" s="41">
        <v>1</v>
      </c>
      <c r="J168" s="24">
        <f t="shared" si="3"/>
        <v>2</v>
      </c>
      <c r="K168" s="41"/>
    </row>
    <row r="169" spans="1:11" s="56" customFormat="1" ht="20.100000000000001" customHeight="1" x14ac:dyDescent="0.15">
      <c r="A169" s="6">
        <v>102.21</v>
      </c>
      <c r="B169" s="129"/>
      <c r="C169" s="53">
        <v>101002009009</v>
      </c>
      <c r="D169" s="9" t="s">
        <v>168</v>
      </c>
      <c r="E169" s="24" t="s">
        <v>157</v>
      </c>
      <c r="F169" s="41"/>
      <c r="G169" s="41"/>
      <c r="H169" s="9" t="s">
        <v>157</v>
      </c>
      <c r="I169" s="41">
        <v>7</v>
      </c>
      <c r="J169" s="24">
        <f t="shared" si="3"/>
        <v>14</v>
      </c>
      <c r="K169" s="41"/>
    </row>
    <row r="170" spans="1:11" s="56" customFormat="1" ht="20.100000000000001" customHeight="1" x14ac:dyDescent="0.15">
      <c r="A170" s="6"/>
      <c r="B170" s="129"/>
      <c r="C170" s="53">
        <v>101002009042</v>
      </c>
      <c r="D170" s="6" t="s">
        <v>169</v>
      </c>
      <c r="E170" s="41" t="s">
        <v>130</v>
      </c>
      <c r="F170" s="125"/>
      <c r="G170" s="125"/>
      <c r="H170" s="69" t="s">
        <v>245</v>
      </c>
      <c r="I170" s="41">
        <v>2</v>
      </c>
      <c r="J170" s="24">
        <f>I170*14</f>
        <v>28</v>
      </c>
      <c r="K170" s="41"/>
    </row>
    <row r="171" spans="1:11" s="56" customFormat="1" ht="20.100000000000001" customHeight="1" x14ac:dyDescent="0.15">
      <c r="A171" s="6">
        <v>102.22</v>
      </c>
      <c r="B171" s="129"/>
      <c r="C171" s="53">
        <v>101002008159</v>
      </c>
      <c r="D171" s="6" t="s">
        <v>169</v>
      </c>
      <c r="E171" s="24" t="s">
        <v>130</v>
      </c>
      <c r="F171" s="125"/>
      <c r="G171" s="125"/>
      <c r="H171" s="69" t="s">
        <v>245</v>
      </c>
      <c r="I171" s="41">
        <v>2</v>
      </c>
      <c r="J171" s="24">
        <f t="shared" si="3"/>
        <v>4</v>
      </c>
      <c r="K171" s="41"/>
    </row>
    <row r="172" spans="1:11" s="56" customFormat="1" ht="20.100000000000001" customHeight="1" x14ac:dyDescent="0.15">
      <c r="A172" s="6">
        <v>102.23</v>
      </c>
      <c r="B172" s="129"/>
      <c r="C172" s="53">
        <v>101002008162</v>
      </c>
      <c r="D172" s="14" t="s">
        <v>171</v>
      </c>
      <c r="E172" s="24" t="s">
        <v>178</v>
      </c>
      <c r="F172" s="125"/>
      <c r="G172" s="125"/>
      <c r="H172" s="69" t="s">
        <v>83</v>
      </c>
      <c r="I172" s="41">
        <v>1</v>
      </c>
      <c r="J172" s="24">
        <f t="shared" si="3"/>
        <v>2</v>
      </c>
      <c r="K172" s="41"/>
    </row>
    <row r="173" spans="1:11" s="149" customFormat="1" ht="20.100000000000001" customHeight="1" x14ac:dyDescent="0.15">
      <c r="A173" s="133">
        <v>102.24</v>
      </c>
      <c r="B173" s="134"/>
      <c r="C173" s="148">
        <v>101002009014</v>
      </c>
      <c r="D173" s="133" t="s">
        <v>169</v>
      </c>
      <c r="E173" s="137" t="s">
        <v>130</v>
      </c>
      <c r="F173" s="41"/>
      <c r="G173" s="41"/>
      <c r="H173" s="68" t="s">
        <v>245</v>
      </c>
      <c r="I173" s="137">
        <v>1</v>
      </c>
      <c r="J173" s="66"/>
      <c r="K173" s="137"/>
    </row>
    <row r="174" spans="1:11" s="56" customFormat="1" ht="20.100000000000001" customHeight="1" x14ac:dyDescent="0.15">
      <c r="A174" s="6">
        <v>102.25</v>
      </c>
      <c r="B174" s="129"/>
      <c r="C174" s="53">
        <v>101002009024</v>
      </c>
      <c r="D174" s="6" t="s">
        <v>169</v>
      </c>
      <c r="E174" s="41" t="s">
        <v>130</v>
      </c>
      <c r="F174" s="125"/>
      <c r="G174" s="125"/>
      <c r="H174" s="69" t="s">
        <v>245</v>
      </c>
      <c r="I174" s="41">
        <v>1</v>
      </c>
      <c r="J174" s="24">
        <f t="shared" si="3"/>
        <v>2</v>
      </c>
      <c r="K174" s="41"/>
    </row>
    <row r="175" spans="1:11" s="56" customFormat="1" ht="20.100000000000001" customHeight="1" x14ac:dyDescent="0.15">
      <c r="A175" s="6">
        <v>102.26</v>
      </c>
      <c r="B175" s="129"/>
      <c r="C175" s="53">
        <v>101002009026</v>
      </c>
      <c r="D175" s="6" t="s">
        <v>169</v>
      </c>
      <c r="E175" s="41" t="s">
        <v>130</v>
      </c>
      <c r="F175" s="125"/>
      <c r="G175" s="125"/>
      <c r="H175" s="69" t="s">
        <v>245</v>
      </c>
      <c r="I175" s="41">
        <v>1</v>
      </c>
      <c r="J175" s="24">
        <f t="shared" si="3"/>
        <v>2</v>
      </c>
      <c r="K175" s="41"/>
    </row>
    <row r="176" spans="1:11" s="56" customFormat="1" ht="20.100000000000001" customHeight="1" x14ac:dyDescent="0.15">
      <c r="A176" s="6">
        <v>102.27</v>
      </c>
      <c r="B176" s="129"/>
      <c r="C176" s="53">
        <v>101002009032</v>
      </c>
      <c r="D176" s="14" t="s">
        <v>171</v>
      </c>
      <c r="E176" s="41" t="s">
        <v>177</v>
      </c>
      <c r="F176" s="125"/>
      <c r="G176" s="125"/>
      <c r="H176" s="69" t="s">
        <v>245</v>
      </c>
      <c r="I176" s="41">
        <v>1</v>
      </c>
      <c r="J176" s="24">
        <f t="shared" si="3"/>
        <v>2</v>
      </c>
      <c r="K176" s="41"/>
    </row>
    <row r="177" spans="1:11" s="35" customFormat="1" ht="20.100000000000001" customHeight="1" x14ac:dyDescent="0.15">
      <c r="A177" s="111">
        <v>103</v>
      </c>
      <c r="B177" s="70"/>
      <c r="C177" s="80" t="s">
        <v>203</v>
      </c>
      <c r="D177" s="5" t="s">
        <v>11</v>
      </c>
      <c r="E177" s="19" t="s">
        <v>115</v>
      </c>
      <c r="F177" s="64"/>
      <c r="G177" s="57"/>
      <c r="H177" s="5" t="s">
        <v>162</v>
      </c>
      <c r="I177" s="19">
        <v>1</v>
      </c>
      <c r="J177" s="87">
        <v>16</v>
      </c>
      <c r="K177" s="77">
        <v>20240314</v>
      </c>
    </row>
    <row r="178" spans="1:11" s="35" customFormat="1" ht="20.100000000000001" customHeight="1" x14ac:dyDescent="0.15">
      <c r="A178" s="111">
        <v>105</v>
      </c>
      <c r="B178" s="70"/>
      <c r="C178" s="88" t="s">
        <v>27</v>
      </c>
      <c r="D178" s="5" t="s">
        <v>11</v>
      </c>
      <c r="E178" s="19" t="s">
        <v>115</v>
      </c>
      <c r="F178" s="64"/>
      <c r="G178" s="57"/>
      <c r="H178" s="5" t="s">
        <v>162</v>
      </c>
      <c r="I178" s="19">
        <v>1</v>
      </c>
      <c r="J178" s="83">
        <v>4</v>
      </c>
      <c r="K178" s="77">
        <v>20210618</v>
      </c>
    </row>
    <row r="179" spans="1:11" s="35" customFormat="1" ht="20.100000000000001" customHeight="1" x14ac:dyDescent="0.15">
      <c r="A179" s="111">
        <v>107</v>
      </c>
      <c r="B179" s="70"/>
      <c r="C179" s="88" t="s">
        <v>28</v>
      </c>
      <c r="D179" s="5" t="s">
        <v>11</v>
      </c>
      <c r="E179" s="19" t="s">
        <v>115</v>
      </c>
      <c r="F179" s="64"/>
      <c r="G179" s="57"/>
      <c r="H179" s="5" t="s">
        <v>162</v>
      </c>
      <c r="I179" s="19">
        <v>1</v>
      </c>
      <c r="J179" s="83">
        <v>4</v>
      </c>
      <c r="K179" s="77">
        <v>20210618</v>
      </c>
    </row>
    <row r="180" spans="1:11" s="35" customFormat="1" ht="20.100000000000001" customHeight="1" x14ac:dyDescent="0.15">
      <c r="A180" s="111">
        <v>109</v>
      </c>
      <c r="B180" s="70"/>
      <c r="C180" s="31">
        <v>101002007517</v>
      </c>
      <c r="D180" s="16" t="s">
        <v>11</v>
      </c>
      <c r="E180" s="33" t="s">
        <v>115</v>
      </c>
      <c r="F180" s="57"/>
      <c r="G180" s="57"/>
      <c r="H180" s="16" t="s">
        <v>165</v>
      </c>
      <c r="I180" s="19">
        <v>1</v>
      </c>
      <c r="J180" s="83">
        <v>4</v>
      </c>
      <c r="K180" s="77">
        <v>250221</v>
      </c>
    </row>
    <row r="181" spans="1:11" s="35" customFormat="1" ht="20.100000000000001" customHeight="1" x14ac:dyDescent="0.15">
      <c r="A181" s="111">
        <v>110</v>
      </c>
      <c r="B181" s="31">
        <v>1303000019625</v>
      </c>
      <c r="C181" s="43">
        <v>101002007534</v>
      </c>
      <c r="D181" s="5" t="s">
        <v>11</v>
      </c>
      <c r="E181" s="33" t="s">
        <v>115</v>
      </c>
      <c r="F181" s="57"/>
      <c r="G181" s="57"/>
      <c r="H181" s="16" t="s">
        <v>165</v>
      </c>
      <c r="I181" s="45">
        <v>1</v>
      </c>
      <c r="J181" s="83">
        <v>2</v>
      </c>
      <c r="K181" s="77">
        <v>250221</v>
      </c>
    </row>
    <row r="182" spans="1:11" s="35" customFormat="1" ht="20.100000000000001" customHeight="1" x14ac:dyDescent="0.15">
      <c r="A182" s="111">
        <v>111</v>
      </c>
      <c r="B182" s="70"/>
      <c r="C182" s="31">
        <v>101002007535</v>
      </c>
      <c r="D182" s="16" t="s">
        <v>11</v>
      </c>
      <c r="E182" s="33" t="s">
        <v>115</v>
      </c>
      <c r="F182" s="57"/>
      <c r="G182" s="57"/>
      <c r="H182" s="16" t="s">
        <v>165</v>
      </c>
      <c r="I182" s="19">
        <v>1</v>
      </c>
      <c r="J182" s="83">
        <v>2</v>
      </c>
      <c r="K182" s="77">
        <v>250221</v>
      </c>
    </row>
    <row r="183" spans="1:11" s="35" customFormat="1" ht="20.100000000000001" customHeight="1" x14ac:dyDescent="0.15">
      <c r="A183" s="111">
        <v>112</v>
      </c>
      <c r="B183" s="70"/>
      <c r="C183" s="43">
        <v>101002007536</v>
      </c>
      <c r="D183" s="5" t="s">
        <v>11</v>
      </c>
      <c r="E183" s="19" t="s">
        <v>115</v>
      </c>
      <c r="F183" s="57"/>
      <c r="G183" s="57"/>
      <c r="H183" s="5" t="s">
        <v>165</v>
      </c>
      <c r="I183" s="19">
        <v>1</v>
      </c>
      <c r="J183" s="83">
        <v>2</v>
      </c>
      <c r="K183" s="77">
        <v>250221</v>
      </c>
    </row>
    <row r="184" spans="1:11" s="35" customFormat="1" ht="20.100000000000001" customHeight="1" x14ac:dyDescent="0.15">
      <c r="A184" s="111">
        <v>113</v>
      </c>
      <c r="B184" s="70"/>
      <c r="C184" s="31">
        <v>101002007538</v>
      </c>
      <c r="D184" s="16" t="s">
        <v>11</v>
      </c>
      <c r="E184" s="33" t="s">
        <v>115</v>
      </c>
      <c r="F184" s="57"/>
      <c r="G184" s="57"/>
      <c r="H184" s="5" t="s">
        <v>162</v>
      </c>
      <c r="I184" s="19">
        <v>1</v>
      </c>
      <c r="J184" s="83">
        <v>2</v>
      </c>
      <c r="K184" s="77">
        <v>250221</v>
      </c>
    </row>
    <row r="185" spans="1:11" s="35" customFormat="1" ht="20.100000000000001" customHeight="1" x14ac:dyDescent="0.15">
      <c r="A185" s="111">
        <v>115</v>
      </c>
      <c r="B185" s="70"/>
      <c r="C185" s="43">
        <v>101002008109</v>
      </c>
      <c r="D185" s="17" t="s">
        <v>22</v>
      </c>
      <c r="E185" s="58" t="s">
        <v>82</v>
      </c>
      <c r="F185" s="57"/>
      <c r="G185" s="57"/>
      <c r="H185" s="5" t="s">
        <v>165</v>
      </c>
      <c r="I185" s="89">
        <v>1</v>
      </c>
      <c r="J185" s="83">
        <v>10</v>
      </c>
      <c r="K185" s="77">
        <v>250428</v>
      </c>
    </row>
    <row r="186" spans="1:11" s="35" customFormat="1" ht="20.100000000000001" customHeight="1" x14ac:dyDescent="0.15">
      <c r="A186" s="111">
        <v>118</v>
      </c>
      <c r="B186" s="70"/>
      <c r="C186" s="157" t="s">
        <v>267</v>
      </c>
      <c r="D186" s="5" t="s">
        <v>29</v>
      </c>
      <c r="E186" s="58" t="s">
        <v>68</v>
      </c>
      <c r="F186" s="57"/>
      <c r="G186" s="57"/>
      <c r="H186" s="5" t="s">
        <v>83</v>
      </c>
      <c r="I186" s="89">
        <v>1</v>
      </c>
      <c r="J186" s="90">
        <v>2</v>
      </c>
      <c r="K186" s="77">
        <v>250428</v>
      </c>
    </row>
    <row r="187" spans="1:11" s="35" customFormat="1" ht="20.100000000000001" customHeight="1" x14ac:dyDescent="0.15">
      <c r="A187" s="111">
        <v>119</v>
      </c>
      <c r="B187" s="70"/>
      <c r="C187" s="91" t="s">
        <v>204</v>
      </c>
      <c r="D187" s="5" t="s">
        <v>11</v>
      </c>
      <c r="E187" s="19" t="s">
        <v>115</v>
      </c>
      <c r="F187" s="57"/>
      <c r="G187" s="57"/>
      <c r="H187" s="5" t="s">
        <v>107</v>
      </c>
      <c r="I187" s="19">
        <v>1</v>
      </c>
      <c r="J187" s="83">
        <v>2</v>
      </c>
      <c r="K187" s="77">
        <v>250403</v>
      </c>
    </row>
    <row r="188" spans="1:11" s="35" customFormat="1" ht="20.100000000000001" customHeight="1" x14ac:dyDescent="0.15">
      <c r="A188" s="111">
        <v>120</v>
      </c>
      <c r="B188" s="70"/>
      <c r="C188" s="16" t="s">
        <v>205</v>
      </c>
      <c r="D188" s="113" t="s">
        <v>18</v>
      </c>
      <c r="E188" s="19" t="s">
        <v>70</v>
      </c>
      <c r="F188" s="64"/>
      <c r="G188" s="64"/>
      <c r="H188" s="5" t="s">
        <v>107</v>
      </c>
      <c r="I188" s="22">
        <v>1</v>
      </c>
      <c r="J188" s="83">
        <v>2</v>
      </c>
      <c r="K188" s="77">
        <v>250428</v>
      </c>
    </row>
    <row r="189" spans="1:11" s="35" customFormat="1" ht="20.100000000000001" customHeight="1" x14ac:dyDescent="0.15">
      <c r="A189" s="111">
        <v>121</v>
      </c>
      <c r="B189" s="70"/>
      <c r="C189" s="91" t="s">
        <v>206</v>
      </c>
      <c r="D189" s="5" t="s">
        <v>11</v>
      </c>
      <c r="E189" s="19" t="s">
        <v>115</v>
      </c>
      <c r="F189" s="64"/>
      <c r="G189" s="64"/>
      <c r="H189" s="5" t="s">
        <v>83</v>
      </c>
      <c r="I189" s="19">
        <v>1</v>
      </c>
      <c r="J189" s="83">
        <v>2</v>
      </c>
      <c r="K189" s="77">
        <v>250428</v>
      </c>
    </row>
    <row r="190" spans="1:11" s="35" customFormat="1" ht="20.100000000000001" customHeight="1" x14ac:dyDescent="0.15">
      <c r="A190" s="111">
        <v>122</v>
      </c>
      <c r="B190" s="70"/>
      <c r="C190" s="92" t="s">
        <v>207</v>
      </c>
      <c r="D190" s="62" t="s">
        <v>171</v>
      </c>
      <c r="E190" s="19" t="s">
        <v>105</v>
      </c>
      <c r="F190" s="64"/>
      <c r="G190" s="64"/>
      <c r="H190" s="5" t="s">
        <v>107</v>
      </c>
      <c r="I190" s="44">
        <v>1</v>
      </c>
      <c r="J190" s="83">
        <v>2</v>
      </c>
      <c r="K190" s="77">
        <v>250428</v>
      </c>
    </row>
    <row r="191" spans="1:11" s="35" customFormat="1" ht="20.100000000000001" customHeight="1" x14ac:dyDescent="0.15">
      <c r="A191" s="111">
        <v>123</v>
      </c>
      <c r="B191" s="70"/>
      <c r="C191" s="16" t="s">
        <v>30</v>
      </c>
      <c r="D191" s="16" t="s">
        <v>11</v>
      </c>
      <c r="E191" s="19" t="s">
        <v>115</v>
      </c>
      <c r="F191" s="64"/>
      <c r="G191" s="64"/>
      <c r="H191" s="5" t="s">
        <v>83</v>
      </c>
      <c r="I191" s="58">
        <v>1</v>
      </c>
      <c r="J191" s="83">
        <v>2</v>
      </c>
      <c r="K191" s="77">
        <v>250403</v>
      </c>
    </row>
    <row r="192" spans="1:11" s="32" customFormat="1" ht="20.100000000000001" customHeight="1" x14ac:dyDescent="0.15">
      <c r="A192" s="5">
        <v>124</v>
      </c>
      <c r="B192" s="31"/>
      <c r="C192" s="88" t="s">
        <v>31</v>
      </c>
      <c r="D192" s="5" t="s">
        <v>32</v>
      </c>
      <c r="E192" s="19" t="s">
        <v>48</v>
      </c>
      <c r="F192" s="19"/>
      <c r="G192" s="19"/>
      <c r="H192" s="5" t="s">
        <v>48</v>
      </c>
      <c r="I192" s="19">
        <v>1</v>
      </c>
      <c r="J192" s="19">
        <v>2</v>
      </c>
      <c r="K192" s="19">
        <v>20210618</v>
      </c>
    </row>
    <row r="193" spans="1:13" s="56" customFormat="1" ht="20.100000000000001" customHeight="1" x14ac:dyDescent="0.15">
      <c r="A193" s="6"/>
      <c r="B193" s="129"/>
      <c r="C193" s="41" t="s">
        <v>208</v>
      </c>
      <c r="D193" s="6" t="s">
        <v>209</v>
      </c>
      <c r="E193" s="24" t="s">
        <v>210</v>
      </c>
      <c r="F193" s="63"/>
      <c r="G193" s="150"/>
      <c r="H193" s="14" t="s">
        <v>259</v>
      </c>
      <c r="I193" s="24">
        <v>1</v>
      </c>
      <c r="J193" s="41">
        <f>I193*2</f>
        <v>2</v>
      </c>
      <c r="K193" s="24" t="s">
        <v>211</v>
      </c>
    </row>
    <row r="194" spans="1:13" s="56" customFormat="1" ht="20.100000000000001" customHeight="1" x14ac:dyDescent="0.15">
      <c r="A194" s="6"/>
      <c r="B194" s="129"/>
      <c r="C194" s="41" t="s">
        <v>212</v>
      </c>
      <c r="D194" s="6" t="s">
        <v>213</v>
      </c>
      <c r="E194" s="24" t="s">
        <v>210</v>
      </c>
      <c r="F194" s="63"/>
      <c r="G194" s="150"/>
      <c r="H194" s="14" t="s">
        <v>165</v>
      </c>
      <c r="I194" s="24">
        <v>1</v>
      </c>
      <c r="J194" s="41">
        <f t="shared" ref="J194:J195" si="4">I194*2</f>
        <v>2</v>
      </c>
      <c r="K194" s="41"/>
    </row>
    <row r="195" spans="1:13" s="56" customFormat="1" ht="20.100000000000001" customHeight="1" x14ac:dyDescent="0.15">
      <c r="A195" s="6"/>
      <c r="B195" s="129"/>
      <c r="C195" s="41" t="s">
        <v>214</v>
      </c>
      <c r="D195" s="6" t="s">
        <v>215</v>
      </c>
      <c r="E195" s="24" t="s">
        <v>210</v>
      </c>
      <c r="F195" s="63"/>
      <c r="G195" s="150"/>
      <c r="H195" s="14" t="s">
        <v>165</v>
      </c>
      <c r="I195" s="24">
        <v>1</v>
      </c>
      <c r="J195" s="41">
        <f t="shared" si="4"/>
        <v>2</v>
      </c>
      <c r="K195" s="41"/>
    </row>
    <row r="196" spans="1:13" s="35" customFormat="1" ht="20.100000000000001" customHeight="1" x14ac:dyDescent="0.15">
      <c r="A196" s="111">
        <v>126</v>
      </c>
      <c r="B196" s="31">
        <v>1303000019689</v>
      </c>
      <c r="C196" s="43">
        <v>101002013323</v>
      </c>
      <c r="D196" s="17" t="s">
        <v>11</v>
      </c>
      <c r="E196" s="33" t="s">
        <v>71</v>
      </c>
      <c r="F196" s="57"/>
      <c r="G196" s="57"/>
      <c r="H196" s="16" t="s">
        <v>83</v>
      </c>
      <c r="I196" s="45">
        <v>1</v>
      </c>
      <c r="J196" s="77">
        <v>2</v>
      </c>
      <c r="K196" s="77">
        <v>250221</v>
      </c>
    </row>
    <row r="197" spans="1:13" s="35" customFormat="1" ht="20.100000000000001" customHeight="1" x14ac:dyDescent="0.15">
      <c r="A197" s="111">
        <v>129</v>
      </c>
      <c r="B197" s="70"/>
      <c r="C197" s="37" t="s">
        <v>261</v>
      </c>
      <c r="D197" s="5" t="s">
        <v>33</v>
      </c>
      <c r="E197" s="19" t="s">
        <v>68</v>
      </c>
      <c r="F197" s="64"/>
      <c r="G197" s="64"/>
      <c r="H197" s="5" t="s">
        <v>245</v>
      </c>
      <c r="I197" s="19">
        <v>1</v>
      </c>
      <c r="J197" s="19">
        <v>8</v>
      </c>
      <c r="K197" s="19">
        <v>250221</v>
      </c>
    </row>
    <row r="198" spans="1:13" s="32" customFormat="1" ht="20.100000000000001" customHeight="1" x14ac:dyDescent="0.15">
      <c r="A198" s="5">
        <v>132</v>
      </c>
      <c r="B198" s="31"/>
      <c r="C198" s="91" t="s">
        <v>216</v>
      </c>
      <c r="D198" s="5" t="s">
        <v>217</v>
      </c>
      <c r="E198" s="58" t="s">
        <v>48</v>
      </c>
      <c r="F198" s="19"/>
      <c r="G198" s="19"/>
      <c r="H198" s="62" t="s">
        <v>48</v>
      </c>
      <c r="I198" s="19">
        <v>1</v>
      </c>
      <c r="J198" s="19">
        <v>2</v>
      </c>
      <c r="K198" s="19">
        <v>20241218</v>
      </c>
    </row>
    <row r="199" spans="1:13" s="56" customFormat="1" ht="20.100000000000001" customHeight="1" x14ac:dyDescent="0.15">
      <c r="A199" s="6"/>
      <c r="B199" s="129"/>
      <c r="C199" s="93" t="s">
        <v>218</v>
      </c>
      <c r="D199" s="6" t="s">
        <v>217</v>
      </c>
      <c r="E199" s="24" t="s">
        <v>109</v>
      </c>
      <c r="F199" s="63"/>
      <c r="G199" s="63"/>
      <c r="H199" s="9" t="s">
        <v>107</v>
      </c>
      <c r="I199" s="24">
        <v>1</v>
      </c>
      <c r="J199" s="41">
        <f t="shared" ref="J199:J202" si="5">I199*2</f>
        <v>2</v>
      </c>
      <c r="K199" s="41"/>
    </row>
    <row r="200" spans="1:13" s="56" customFormat="1" ht="20.100000000000001" customHeight="1" x14ac:dyDescent="0.15">
      <c r="A200" s="6"/>
      <c r="B200" s="129"/>
      <c r="C200" s="93" t="s">
        <v>219</v>
      </c>
      <c r="D200" s="6" t="s">
        <v>220</v>
      </c>
      <c r="E200" s="24" t="s">
        <v>109</v>
      </c>
      <c r="F200" s="63"/>
      <c r="G200" s="63"/>
      <c r="H200" s="9" t="s">
        <v>83</v>
      </c>
      <c r="I200" s="24">
        <v>2</v>
      </c>
      <c r="J200" s="41">
        <f t="shared" si="5"/>
        <v>4</v>
      </c>
      <c r="K200" s="41"/>
    </row>
    <row r="201" spans="1:13" s="56" customFormat="1" ht="20.100000000000001" customHeight="1" x14ac:dyDescent="0.15">
      <c r="A201" s="6"/>
      <c r="B201" s="129"/>
      <c r="C201" s="93" t="s">
        <v>262</v>
      </c>
      <c r="D201" s="6" t="s">
        <v>220</v>
      </c>
      <c r="E201" s="24" t="s">
        <v>109</v>
      </c>
      <c r="F201" s="63"/>
      <c r="G201" s="63"/>
      <c r="H201" s="9" t="s">
        <v>83</v>
      </c>
      <c r="I201" s="24">
        <v>1</v>
      </c>
      <c r="J201" s="41">
        <f t="shared" si="5"/>
        <v>2</v>
      </c>
      <c r="K201" s="41"/>
    </row>
    <row r="202" spans="1:13" s="56" customFormat="1" ht="20.100000000000001" customHeight="1" x14ac:dyDescent="0.15">
      <c r="A202" s="6"/>
      <c r="B202" s="129"/>
      <c r="C202" s="93" t="s">
        <v>263</v>
      </c>
      <c r="D202" s="6" t="s">
        <v>220</v>
      </c>
      <c r="E202" s="24" t="s">
        <v>109</v>
      </c>
      <c r="F202" s="63"/>
      <c r="G202" s="63"/>
      <c r="H202" s="9" t="s">
        <v>83</v>
      </c>
      <c r="I202" s="24">
        <v>1</v>
      </c>
      <c r="J202" s="41">
        <f t="shared" si="5"/>
        <v>2</v>
      </c>
      <c r="K202" s="41"/>
    </row>
    <row r="203" spans="1:13" s="35" customFormat="1" ht="20.100000000000001" customHeight="1" x14ac:dyDescent="0.15">
      <c r="A203" s="111">
        <v>134</v>
      </c>
      <c r="B203" s="70"/>
      <c r="C203" s="16" t="s">
        <v>221</v>
      </c>
      <c r="D203" s="5" t="s">
        <v>222</v>
      </c>
      <c r="E203" s="19" t="s">
        <v>109</v>
      </c>
      <c r="F203" s="64"/>
      <c r="G203" s="64"/>
      <c r="H203" s="5" t="s">
        <v>83</v>
      </c>
      <c r="I203" s="19">
        <v>1</v>
      </c>
      <c r="J203" s="94">
        <v>4</v>
      </c>
      <c r="K203" s="77">
        <v>250428</v>
      </c>
    </row>
    <row r="204" spans="1:13" s="35" customFormat="1" ht="20.100000000000001" customHeight="1" x14ac:dyDescent="0.15">
      <c r="A204" s="111">
        <v>135</v>
      </c>
      <c r="B204" s="70"/>
      <c r="C204" s="80" t="s">
        <v>34</v>
      </c>
      <c r="D204" s="5" t="s">
        <v>35</v>
      </c>
      <c r="E204" s="19" t="s">
        <v>115</v>
      </c>
      <c r="F204" s="64"/>
      <c r="G204" s="64"/>
      <c r="H204" s="5" t="s">
        <v>107</v>
      </c>
      <c r="I204" s="19">
        <v>1</v>
      </c>
      <c r="J204" s="95">
        <v>48</v>
      </c>
      <c r="K204" s="77" t="s">
        <v>264</v>
      </c>
    </row>
    <row r="205" spans="1:13" s="32" customFormat="1" ht="20.100000000000001" customHeight="1" x14ac:dyDescent="0.15">
      <c r="A205" s="5">
        <v>136</v>
      </c>
      <c r="B205" s="31"/>
      <c r="C205" s="80" t="s">
        <v>36</v>
      </c>
      <c r="D205" s="5" t="s">
        <v>37</v>
      </c>
      <c r="E205" s="19" t="s">
        <v>48</v>
      </c>
      <c r="F205" s="65"/>
      <c r="G205" s="65"/>
      <c r="H205" s="5" t="s">
        <v>48</v>
      </c>
      <c r="I205" s="19">
        <v>1</v>
      </c>
      <c r="J205" s="19">
        <v>24</v>
      </c>
      <c r="K205" s="5">
        <v>250428</v>
      </c>
    </row>
    <row r="206" spans="1:13" s="149" customFormat="1" ht="20.100000000000001" customHeight="1" x14ac:dyDescent="0.15">
      <c r="A206" s="133"/>
      <c r="B206" s="134"/>
      <c r="C206" s="151" t="s">
        <v>34</v>
      </c>
      <c r="D206" s="133" t="s">
        <v>35</v>
      </c>
      <c r="E206" s="66" t="s">
        <v>115</v>
      </c>
      <c r="F206" s="66"/>
      <c r="G206" s="66"/>
      <c r="H206" s="67" t="s">
        <v>107</v>
      </c>
      <c r="I206" s="66">
        <v>1</v>
      </c>
      <c r="J206" s="137"/>
      <c r="K206" s="133"/>
    </row>
    <row r="207" spans="1:13" s="186" customFormat="1" ht="20.100000000000001" customHeight="1" x14ac:dyDescent="0.15">
      <c r="A207" s="174"/>
      <c r="B207" s="175"/>
      <c r="C207" s="184" t="s">
        <v>223</v>
      </c>
      <c r="D207" s="174" t="s">
        <v>224</v>
      </c>
      <c r="E207" s="178" t="s">
        <v>50</v>
      </c>
      <c r="F207" s="24"/>
      <c r="G207" s="24"/>
      <c r="H207" s="167" t="s">
        <v>107</v>
      </c>
      <c r="I207" s="178">
        <v>1</v>
      </c>
      <c r="J207" s="185">
        <f>I207*24</f>
        <v>24</v>
      </c>
      <c r="K207" s="174" t="s">
        <v>225</v>
      </c>
      <c r="L207" s="170" t="s">
        <v>279</v>
      </c>
      <c r="M207" s="170">
        <v>2.88</v>
      </c>
    </row>
    <row r="208" spans="1:13" s="56" customFormat="1" ht="20.100000000000001" customHeight="1" x14ac:dyDescent="0.15">
      <c r="A208" s="5">
        <v>137</v>
      </c>
      <c r="B208" s="129"/>
      <c r="C208" s="16" t="s">
        <v>38</v>
      </c>
      <c r="D208" s="16" t="s">
        <v>37</v>
      </c>
      <c r="E208" s="19" t="s">
        <v>48</v>
      </c>
      <c r="F208" s="19"/>
      <c r="G208" s="19"/>
      <c r="H208" s="5" t="s">
        <v>48</v>
      </c>
      <c r="I208" s="19">
        <v>1</v>
      </c>
      <c r="J208" s="19">
        <v>2</v>
      </c>
      <c r="K208" s="19">
        <v>20240314</v>
      </c>
    </row>
    <row r="209" spans="1:13" s="154" customFormat="1" ht="20.100000000000001" customHeight="1" x14ac:dyDescent="0.15">
      <c r="A209" s="67"/>
      <c r="B209" s="141"/>
      <c r="C209" s="152" t="s">
        <v>39</v>
      </c>
      <c r="D209" s="152" t="s">
        <v>35</v>
      </c>
      <c r="E209" s="66" t="s">
        <v>115</v>
      </c>
      <c r="F209" s="66"/>
      <c r="G209" s="153"/>
      <c r="H209" s="67" t="s">
        <v>83</v>
      </c>
      <c r="I209" s="66">
        <v>1</v>
      </c>
      <c r="J209" s="66"/>
      <c r="K209" s="66"/>
    </row>
    <row r="210" spans="1:13" s="186" customFormat="1" ht="20.100000000000001" customHeight="1" x14ac:dyDescent="0.15">
      <c r="A210" s="174"/>
      <c r="B210" s="175"/>
      <c r="C210" s="182" t="s">
        <v>226</v>
      </c>
      <c r="D210" s="163" t="s">
        <v>224</v>
      </c>
      <c r="E210" s="178" t="s">
        <v>50</v>
      </c>
      <c r="F210" s="24"/>
      <c r="G210" s="61"/>
      <c r="H210" s="167" t="s">
        <v>107</v>
      </c>
      <c r="I210" s="178">
        <v>1</v>
      </c>
      <c r="J210" s="185">
        <f t="shared" ref="J210" si="6">I210*2</f>
        <v>2</v>
      </c>
      <c r="K210" s="185" t="s">
        <v>227</v>
      </c>
      <c r="L210" s="170" t="s">
        <v>280</v>
      </c>
      <c r="M210" s="170">
        <v>0.248</v>
      </c>
    </row>
    <row r="211" spans="1:13" s="35" customFormat="1" ht="20.100000000000001" customHeight="1" x14ac:dyDescent="0.15">
      <c r="A211" s="111">
        <v>138</v>
      </c>
      <c r="B211" s="70"/>
      <c r="C211" s="16" t="s">
        <v>228</v>
      </c>
      <c r="D211" s="16" t="s">
        <v>35</v>
      </c>
      <c r="E211" s="19" t="s">
        <v>115</v>
      </c>
      <c r="F211" s="64"/>
      <c r="G211" s="155"/>
      <c r="H211" s="5" t="s">
        <v>107</v>
      </c>
      <c r="I211" s="19">
        <v>1</v>
      </c>
      <c r="J211" s="83">
        <v>2</v>
      </c>
      <c r="K211" s="77" t="s">
        <v>265</v>
      </c>
    </row>
    <row r="212" spans="1:13" s="35" customFormat="1" ht="20.100000000000001" customHeight="1" x14ac:dyDescent="0.15">
      <c r="A212" s="111">
        <v>139</v>
      </c>
      <c r="B212" s="70"/>
      <c r="C212" s="91" t="s">
        <v>229</v>
      </c>
      <c r="D212" s="5" t="s">
        <v>40</v>
      </c>
      <c r="E212" s="19" t="s">
        <v>109</v>
      </c>
      <c r="F212" s="156"/>
      <c r="G212" s="156"/>
      <c r="H212" s="5" t="s">
        <v>107</v>
      </c>
      <c r="I212" s="19">
        <v>1</v>
      </c>
      <c r="J212" s="83">
        <v>6</v>
      </c>
      <c r="K212" s="77">
        <v>250428</v>
      </c>
    </row>
    <row r="213" spans="1:13" s="35" customFormat="1" ht="20.100000000000001" customHeight="1" x14ac:dyDescent="0.15">
      <c r="A213" s="111">
        <v>140</v>
      </c>
      <c r="B213" s="70">
        <v>1303000019043</v>
      </c>
      <c r="C213" s="80" t="s">
        <v>41</v>
      </c>
      <c r="D213" s="5" t="s">
        <v>22</v>
      </c>
      <c r="E213" s="19" t="s">
        <v>109</v>
      </c>
      <c r="F213" s="64"/>
      <c r="G213" s="64"/>
      <c r="H213" s="5" t="s">
        <v>107</v>
      </c>
      <c r="I213" s="19">
        <v>1</v>
      </c>
      <c r="J213" s="96">
        <v>2</v>
      </c>
      <c r="K213" s="77">
        <v>250421</v>
      </c>
    </row>
    <row r="214" spans="1:13" s="35" customFormat="1" ht="20.100000000000001" customHeight="1" x14ac:dyDescent="0.15">
      <c r="A214" s="111">
        <v>141</v>
      </c>
      <c r="B214" s="70">
        <v>1303000019047</v>
      </c>
      <c r="C214" s="80" t="s">
        <v>230</v>
      </c>
      <c r="D214" s="5" t="s">
        <v>22</v>
      </c>
      <c r="E214" s="19" t="s">
        <v>109</v>
      </c>
      <c r="F214" s="64"/>
      <c r="G214" s="64"/>
      <c r="H214" s="5" t="s">
        <v>107</v>
      </c>
      <c r="I214" s="19">
        <v>1</v>
      </c>
      <c r="J214" s="90">
        <v>2</v>
      </c>
      <c r="K214" s="77">
        <v>250421</v>
      </c>
    </row>
    <row r="215" spans="1:13" s="35" customFormat="1" ht="20.100000000000001" customHeight="1" x14ac:dyDescent="0.15">
      <c r="A215" s="111">
        <v>143</v>
      </c>
      <c r="B215" s="31">
        <v>1303000019045</v>
      </c>
      <c r="C215" s="31">
        <v>101002008901</v>
      </c>
      <c r="D215" s="72" t="s">
        <v>117</v>
      </c>
      <c r="E215" s="31" t="s">
        <v>115</v>
      </c>
      <c r="F215" s="57"/>
      <c r="G215" s="57"/>
      <c r="H215" s="72" t="s">
        <v>83</v>
      </c>
      <c r="I215" s="19">
        <v>1</v>
      </c>
      <c r="J215" s="77">
        <v>4</v>
      </c>
      <c r="K215" s="77">
        <v>250302</v>
      </c>
    </row>
    <row r="216" spans="1:13" s="35" customFormat="1" ht="20.100000000000001" customHeight="1" x14ac:dyDescent="0.15">
      <c r="A216" s="111">
        <v>145</v>
      </c>
      <c r="B216" s="31">
        <v>1303000019046</v>
      </c>
      <c r="C216" s="31">
        <v>101002008904</v>
      </c>
      <c r="D216" s="72" t="s">
        <v>22</v>
      </c>
      <c r="E216" s="31" t="s">
        <v>109</v>
      </c>
      <c r="F216" s="57"/>
      <c r="G216" s="57"/>
      <c r="H216" s="72" t="s">
        <v>83</v>
      </c>
      <c r="I216" s="19">
        <v>1</v>
      </c>
      <c r="J216" s="96">
        <v>2</v>
      </c>
      <c r="K216" s="77">
        <v>250302</v>
      </c>
    </row>
    <row r="217" spans="1:13" s="35" customFormat="1" ht="20.100000000000001" customHeight="1" x14ac:dyDescent="0.15">
      <c r="A217" s="111">
        <v>146</v>
      </c>
      <c r="B217" s="70"/>
      <c r="C217" s="80" t="s">
        <v>231</v>
      </c>
      <c r="D217" s="5" t="s">
        <v>11</v>
      </c>
      <c r="E217" s="19" t="s">
        <v>179</v>
      </c>
      <c r="F217" s="57"/>
      <c r="G217" s="57"/>
      <c r="H217" s="5" t="s">
        <v>107</v>
      </c>
      <c r="I217" s="19">
        <v>1</v>
      </c>
      <c r="J217" s="96">
        <v>2</v>
      </c>
      <c r="K217" s="77">
        <v>20240721</v>
      </c>
    </row>
    <row r="218" spans="1:13" s="35" customFormat="1" ht="20.100000000000001" customHeight="1" x14ac:dyDescent="0.15">
      <c r="A218" s="111">
        <v>147</v>
      </c>
      <c r="B218" s="70"/>
      <c r="C218" s="80" t="s">
        <v>232</v>
      </c>
      <c r="D218" s="5" t="s">
        <v>42</v>
      </c>
      <c r="E218" s="19" t="s">
        <v>178</v>
      </c>
      <c r="F218" s="57"/>
      <c r="G218" s="57"/>
      <c r="H218" s="5" t="s">
        <v>107</v>
      </c>
      <c r="I218" s="19">
        <v>1</v>
      </c>
      <c r="J218" s="83">
        <v>2</v>
      </c>
      <c r="K218" s="77">
        <v>20240721</v>
      </c>
    </row>
    <row r="219" spans="1:13" s="35" customFormat="1" ht="20.100000000000001" customHeight="1" x14ac:dyDescent="0.15">
      <c r="A219" s="111">
        <v>148</v>
      </c>
      <c r="B219" s="70"/>
      <c r="C219" s="80" t="s">
        <v>233</v>
      </c>
      <c r="D219" s="5" t="s">
        <v>11</v>
      </c>
      <c r="E219" s="19" t="s">
        <v>148</v>
      </c>
      <c r="F219" s="57"/>
      <c r="G219" s="57"/>
      <c r="H219" s="5" t="s">
        <v>107</v>
      </c>
      <c r="I219" s="19">
        <v>1</v>
      </c>
      <c r="J219" s="83">
        <v>2</v>
      </c>
      <c r="K219" s="77">
        <v>20240721</v>
      </c>
    </row>
    <row r="220" spans="1:13" s="35" customFormat="1" ht="20.100000000000001" customHeight="1" x14ac:dyDescent="0.15">
      <c r="A220" s="111">
        <v>149</v>
      </c>
      <c r="B220" s="43">
        <v>1303000020465</v>
      </c>
      <c r="C220" s="97" t="s">
        <v>234</v>
      </c>
      <c r="D220" s="5" t="s">
        <v>43</v>
      </c>
      <c r="E220" s="58" t="s">
        <v>82</v>
      </c>
      <c r="F220" s="57"/>
      <c r="G220" s="57"/>
      <c r="H220" s="5" t="s">
        <v>51</v>
      </c>
      <c r="I220" s="98">
        <v>1</v>
      </c>
      <c r="J220" s="99">
        <v>2</v>
      </c>
      <c r="K220" s="77">
        <v>250428</v>
      </c>
    </row>
    <row r="221" spans="1:13" s="35" customFormat="1" ht="20.100000000000001" customHeight="1" x14ac:dyDescent="0.15">
      <c r="A221" s="111">
        <v>150</v>
      </c>
      <c r="B221" s="70"/>
      <c r="C221" s="157" t="s">
        <v>266</v>
      </c>
      <c r="D221" s="5" t="s">
        <v>235</v>
      </c>
      <c r="E221" s="58" t="s">
        <v>71</v>
      </c>
      <c r="F221" s="57"/>
      <c r="G221" s="57"/>
      <c r="H221" s="62" t="s">
        <v>83</v>
      </c>
      <c r="I221" s="89">
        <v>1</v>
      </c>
      <c r="J221" s="99">
        <v>3</v>
      </c>
      <c r="K221" s="77">
        <v>250506</v>
      </c>
    </row>
    <row r="222" spans="1:13" s="75" customFormat="1" ht="20.100000000000001" customHeight="1" x14ac:dyDescent="0.15">
      <c r="A222" s="5">
        <v>151</v>
      </c>
      <c r="B222" s="72"/>
      <c r="C222" s="97">
        <v>248050020</v>
      </c>
      <c r="D222" s="5" t="s">
        <v>236</v>
      </c>
      <c r="E222" s="19" t="s">
        <v>157</v>
      </c>
      <c r="F222" s="73"/>
      <c r="G222" s="73"/>
      <c r="H222" s="5" t="s">
        <v>157</v>
      </c>
      <c r="I222" s="74">
        <v>1</v>
      </c>
      <c r="J222" s="19">
        <v>2</v>
      </c>
      <c r="K222" s="100">
        <v>250506</v>
      </c>
    </row>
    <row r="223" spans="1:13" s="38" customFormat="1" ht="20.100000000000001" customHeight="1" x14ac:dyDescent="0.15">
      <c r="A223" s="9">
        <v>151.1</v>
      </c>
      <c r="B223" s="71"/>
      <c r="C223" s="101" t="s">
        <v>237</v>
      </c>
      <c r="D223" s="112" t="s">
        <v>11</v>
      </c>
      <c r="E223" s="102" t="s">
        <v>115</v>
      </c>
      <c r="F223" s="115"/>
      <c r="G223" s="115"/>
      <c r="H223" s="11" t="s">
        <v>83</v>
      </c>
      <c r="I223" s="103">
        <v>1</v>
      </c>
      <c r="J223" s="41">
        <f t="shared" ref="J223:J224" si="7">I223*2</f>
        <v>2</v>
      </c>
      <c r="K223" s="104"/>
    </row>
    <row r="224" spans="1:13" s="38" customFormat="1" ht="20.100000000000001" customHeight="1" x14ac:dyDescent="0.15">
      <c r="A224" s="9">
        <v>151.19999999999999</v>
      </c>
      <c r="B224" s="71"/>
      <c r="C224" s="101" t="s">
        <v>238</v>
      </c>
      <c r="D224" s="112" t="s">
        <v>11</v>
      </c>
      <c r="E224" s="102" t="s">
        <v>115</v>
      </c>
      <c r="F224" s="115"/>
      <c r="G224" s="115"/>
      <c r="H224" s="11" t="s">
        <v>83</v>
      </c>
      <c r="I224" s="103">
        <v>1</v>
      </c>
      <c r="J224" s="41">
        <f t="shared" si="7"/>
        <v>2</v>
      </c>
      <c r="K224" s="104"/>
    </row>
    <row r="225" spans="1:13" s="35" customFormat="1" ht="20.100000000000001" customHeight="1" x14ac:dyDescent="0.15">
      <c r="A225" s="111">
        <v>152</v>
      </c>
      <c r="B225" s="70"/>
      <c r="C225" s="76" t="s">
        <v>239</v>
      </c>
      <c r="D225" s="62" t="s">
        <v>44</v>
      </c>
      <c r="E225" s="58" t="s">
        <v>71</v>
      </c>
      <c r="F225" s="147"/>
      <c r="G225" s="147"/>
      <c r="H225" s="5" t="s">
        <v>107</v>
      </c>
      <c r="I225" s="58">
        <v>1</v>
      </c>
      <c r="J225" s="99">
        <v>3</v>
      </c>
      <c r="K225" s="77">
        <v>250506</v>
      </c>
    </row>
    <row r="226" spans="1:13" s="35" customFormat="1" ht="20.100000000000001" customHeight="1" x14ac:dyDescent="0.15">
      <c r="A226" s="111">
        <v>153</v>
      </c>
      <c r="B226" s="70"/>
      <c r="C226" s="76" t="s">
        <v>45</v>
      </c>
      <c r="D226" s="62" t="s">
        <v>46</v>
      </c>
      <c r="E226" s="58" t="s">
        <v>71</v>
      </c>
      <c r="F226" s="147"/>
      <c r="G226" s="147"/>
      <c r="H226" s="5" t="s">
        <v>107</v>
      </c>
      <c r="I226" s="58">
        <v>1</v>
      </c>
      <c r="J226" s="99">
        <v>3</v>
      </c>
      <c r="K226" s="77">
        <v>250506</v>
      </c>
    </row>
    <row r="227" spans="1:13" s="32" customFormat="1" ht="20.100000000000001" customHeight="1" x14ac:dyDescent="0.15">
      <c r="A227" s="5">
        <v>155</v>
      </c>
      <c r="B227" s="31"/>
      <c r="C227" s="5">
        <v>258036120</v>
      </c>
      <c r="D227" s="62" t="s">
        <v>47</v>
      </c>
      <c r="E227" s="62" t="s">
        <v>48</v>
      </c>
      <c r="F227" s="62"/>
      <c r="G227" s="62"/>
      <c r="H227" s="62" t="s">
        <v>48</v>
      </c>
      <c r="I227" s="62">
        <v>1</v>
      </c>
      <c r="J227" s="19">
        <v>2</v>
      </c>
      <c r="K227" s="19">
        <v>250403</v>
      </c>
    </row>
    <row r="228" spans="1:13" s="56" customFormat="1" ht="20.100000000000001" customHeight="1" x14ac:dyDescent="0.15">
      <c r="A228" s="6"/>
      <c r="B228" s="129"/>
      <c r="C228" s="9" t="s">
        <v>240</v>
      </c>
      <c r="D228" s="11" t="s">
        <v>62</v>
      </c>
      <c r="E228" s="11" t="s">
        <v>105</v>
      </c>
      <c r="F228" s="116"/>
      <c r="G228" s="116"/>
      <c r="H228" s="9" t="s">
        <v>83</v>
      </c>
      <c r="I228" s="11">
        <v>1</v>
      </c>
      <c r="J228" s="41">
        <f t="shared" ref="J228:J230" si="8">I228*2</f>
        <v>2</v>
      </c>
      <c r="K228" s="41"/>
    </row>
    <row r="229" spans="1:13" s="56" customFormat="1" ht="20.100000000000001" customHeight="1" x14ac:dyDescent="0.15">
      <c r="A229" s="6"/>
      <c r="B229" s="129"/>
      <c r="C229" s="9" t="s">
        <v>241</v>
      </c>
      <c r="D229" s="11" t="s">
        <v>11</v>
      </c>
      <c r="E229" s="11" t="s">
        <v>105</v>
      </c>
      <c r="F229" s="116"/>
      <c r="G229" s="116"/>
      <c r="H229" s="9" t="s">
        <v>83</v>
      </c>
      <c r="I229" s="11">
        <v>1</v>
      </c>
      <c r="J229" s="41">
        <f t="shared" si="8"/>
        <v>2</v>
      </c>
      <c r="K229" s="41"/>
    </row>
    <row r="230" spans="1:13" s="56" customFormat="1" ht="20.100000000000001" customHeight="1" x14ac:dyDescent="0.15">
      <c r="A230" s="6"/>
      <c r="B230" s="129"/>
      <c r="C230" s="9" t="s">
        <v>242</v>
      </c>
      <c r="D230" s="11" t="s">
        <v>243</v>
      </c>
      <c r="E230" s="11" t="s">
        <v>70</v>
      </c>
      <c r="F230" s="116"/>
      <c r="G230" s="116"/>
      <c r="H230" s="9" t="s">
        <v>83</v>
      </c>
      <c r="I230" s="11">
        <v>2</v>
      </c>
      <c r="J230" s="41">
        <f t="shared" si="8"/>
        <v>4</v>
      </c>
      <c r="K230" s="41"/>
    </row>
    <row r="231" spans="1:13" s="60" customFormat="1" ht="20.100000000000001" customHeight="1" x14ac:dyDescent="0.15">
      <c r="A231" s="107"/>
      <c r="B231" s="130"/>
      <c r="C231" s="59"/>
      <c r="D231" s="107"/>
      <c r="E231" s="59"/>
      <c r="F231" s="59"/>
      <c r="G231" s="59"/>
      <c r="H231" s="107"/>
      <c r="I231" s="59"/>
      <c r="J231" s="59"/>
      <c r="K231" s="59"/>
      <c r="L231" s="161"/>
      <c r="M231" s="161"/>
    </row>
    <row r="232" spans="1:13" s="60" customFormat="1" ht="20.100000000000001" customHeight="1" x14ac:dyDescent="0.15">
      <c r="A232" s="107"/>
      <c r="B232" s="130"/>
      <c r="C232" s="59"/>
      <c r="D232" s="107"/>
      <c r="E232" s="59"/>
      <c r="F232" s="59"/>
      <c r="G232" s="59"/>
      <c r="H232" s="107"/>
      <c r="I232" s="59"/>
      <c r="J232" s="59"/>
      <c r="K232" s="59"/>
      <c r="L232" s="161"/>
      <c r="M232" s="161"/>
    </row>
    <row r="233" spans="1:13" s="60" customFormat="1" ht="20.100000000000001" customHeight="1" x14ac:dyDescent="0.15">
      <c r="A233" s="107"/>
      <c r="B233" s="130"/>
      <c r="C233" s="59"/>
      <c r="D233" s="107"/>
      <c r="E233" s="59"/>
      <c r="F233" s="59"/>
      <c r="G233" s="59"/>
      <c r="H233" s="107"/>
      <c r="I233" s="59"/>
      <c r="J233" s="59"/>
      <c r="K233" s="59"/>
      <c r="L233" s="161"/>
      <c r="M233" s="161"/>
    </row>
    <row r="234" spans="1:13" s="60" customFormat="1" ht="20.100000000000001" customHeight="1" x14ac:dyDescent="0.15">
      <c r="A234" s="107"/>
      <c r="B234" s="130"/>
      <c r="C234" s="59"/>
      <c r="D234" s="107"/>
      <c r="E234" s="59"/>
      <c r="F234" s="59"/>
      <c r="G234" s="59"/>
      <c r="H234" s="107"/>
      <c r="I234" s="59"/>
      <c r="J234" s="59"/>
      <c r="K234" s="59"/>
      <c r="L234" s="161"/>
      <c r="M234" s="161"/>
    </row>
    <row r="235" spans="1:13" s="60" customFormat="1" ht="20.100000000000001" customHeight="1" x14ac:dyDescent="0.15">
      <c r="A235" s="107"/>
      <c r="B235" s="130"/>
      <c r="C235" s="59"/>
      <c r="D235" s="107"/>
      <c r="E235" s="59"/>
      <c r="F235" s="59"/>
      <c r="G235" s="59"/>
      <c r="H235" s="107"/>
      <c r="I235" s="59"/>
      <c r="J235" s="59"/>
      <c r="K235" s="59"/>
      <c r="L235" s="161"/>
      <c r="M235" s="161"/>
    </row>
    <row r="236" spans="1:13" s="60" customFormat="1" ht="20.100000000000001" customHeight="1" x14ac:dyDescent="0.15">
      <c r="A236" s="107"/>
      <c r="B236" s="130"/>
      <c r="C236" s="59"/>
      <c r="D236" s="107"/>
      <c r="E236" s="59"/>
      <c r="F236" s="59"/>
      <c r="G236" s="59"/>
      <c r="H236" s="107"/>
      <c r="I236" s="59"/>
      <c r="J236" s="59"/>
      <c r="K236" s="59"/>
      <c r="L236" s="161"/>
      <c r="M236" s="161"/>
    </row>
    <row r="237" spans="1:13" s="60" customFormat="1" ht="20.100000000000001" customHeight="1" x14ac:dyDescent="0.15">
      <c r="A237" s="107"/>
      <c r="B237" s="130"/>
      <c r="C237" s="59"/>
      <c r="D237" s="107"/>
      <c r="E237" s="59"/>
      <c r="F237" s="59"/>
      <c r="G237" s="59"/>
      <c r="H237" s="107"/>
      <c r="I237" s="59"/>
      <c r="J237" s="59"/>
      <c r="K237" s="59"/>
      <c r="L237" s="161"/>
      <c r="M237" s="161"/>
    </row>
  </sheetData>
  <autoFilter ref="A1:K230" xr:uid="{1679056B-7A89-4BA8-B8DB-F2BC93EF077D}"/>
  <mergeCells count="7">
    <mergeCell ref="E117:G117"/>
    <mergeCell ref="F102:G102"/>
    <mergeCell ref="E105:G105"/>
    <mergeCell ref="F106:G106"/>
    <mergeCell ref="F65:G65"/>
    <mergeCell ref="F111:G111"/>
    <mergeCell ref="E114:G114"/>
  </mergeCells>
  <phoneticPr fontId="4" type="noConversion"/>
  <conditionalFormatting sqref="C122">
    <cfRule type="duplicateValues" dxfId="13" priority="13"/>
    <cfRule type="duplicateValues" dxfId="12" priority="14"/>
  </conditionalFormatting>
  <conditionalFormatting sqref="C136">
    <cfRule type="duplicateValues" dxfId="11" priority="11"/>
    <cfRule type="duplicateValues" dxfId="10" priority="12"/>
  </conditionalFormatting>
  <conditionalFormatting sqref="C185">
    <cfRule type="duplicateValues" dxfId="9" priority="9"/>
    <cfRule type="duplicateValues" dxfId="8" priority="10"/>
  </conditionalFormatting>
  <conditionalFormatting sqref="C186">
    <cfRule type="duplicateValues" dxfId="7" priority="7"/>
    <cfRule type="duplicateValues" dxfId="6" priority="8"/>
  </conditionalFormatting>
  <conditionalFormatting sqref="C220">
    <cfRule type="duplicateValues" dxfId="5" priority="5"/>
    <cfRule type="duplicateValues" dxfId="4" priority="6"/>
  </conditionalFormatting>
  <conditionalFormatting sqref="C221">
    <cfRule type="duplicateValues" dxfId="3" priority="3"/>
    <cfRule type="duplicateValues" dxfId="2" priority="4"/>
  </conditionalFormatting>
  <conditionalFormatting sqref="C222:C224">
    <cfRule type="duplicateValues" dxfId="1" priority="1"/>
    <cfRule type="duplicateValues" dxfId="0" priority="2"/>
  </conditionalFormatting>
  <pageMargins left="0" right="0" top="0.59055118110236227" bottom="0.39370078740157483" header="0.31496062992125984" footer="0.31496062992125984"/>
  <pageSetup paperSize="9" orientation="portrait" r:id="rId1"/>
  <headerFooter>
    <oddFooter>&amp;C
共&amp;N页 第&amp;P页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cp:lastPrinted>2025-06-13T03:36:53Z</cp:lastPrinted>
  <dcterms:created xsi:type="dcterms:W3CDTF">2018-07-13T02:55:00Z</dcterms:created>
  <dcterms:modified xsi:type="dcterms:W3CDTF">2026-04-02T06:16:54Z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  <property fmtid="{D5CDD505-2E9C-101B-9397-08002B2CF9AE}" pid="3" name="ProjectNumber">
    <vt:lpwstr> </vt:lpwstr>
  </property>
  <property fmtid="{D5CDD505-2E9C-101B-9397-08002B2CF9AE}" pid="4" name="Project Name">
    <vt:lpwstr>
    </vt:lpwstr>
  </property>
  <property fmtid="{D5CDD505-2E9C-101B-9397-08002B2CF9AE}" pid="5" name="Date">
    <vt:lpwstr>2025-06-13</vt:lpwstr>
  </property>
</Properties>
</file>